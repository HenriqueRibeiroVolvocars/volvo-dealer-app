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BEIRO\Downloads\volvo-drive-buddy\base\"/>
    </mc:Choice>
  </mc:AlternateContent>
  <xr:revisionPtr revIDLastSave="0" documentId="13_ncr:1_{FB60F126-CDFF-4B4A-A872-EFF4182CE1E4}" xr6:coauthVersionLast="47" xr6:coauthVersionMax="47" xr10:uidLastSave="{00000000-0000-0000-0000-000000000000}"/>
  <bookViews>
    <workbookView xWindow="-108" yWindow="-108" windowWidth="23256" windowHeight="12456" xr2:uid="{6881A472-2C74-43FF-AD3A-03FCC3E746C9}"/>
  </bookViews>
  <sheets>
    <sheet name="Planilha1" sheetId="1" r:id="rId1"/>
  </sheets>
  <definedNames>
    <definedName name="_xlnm._FilterDatabase" localSheetId="0" hidden="1">Planilha1!$B$1:$R$63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2" i="1"/>
</calcChain>
</file>

<file path=xl/sharedStrings.xml><?xml version="1.0" encoding="utf-8"?>
<sst xmlns="http://schemas.openxmlformats.org/spreadsheetml/2006/main" count="1044" uniqueCount="465">
  <si>
    <t>Volvo EX30 Core</t>
  </si>
  <si>
    <t>229.950</t>
  </si>
  <si>
    <t>BEV</t>
  </si>
  <si>
    <t>272</t>
  </si>
  <si>
    <t>5,7</t>
  </si>
  <si>
    <t>250</t>
  </si>
  <si>
    <t>51</t>
  </si>
  <si>
    <t>26</t>
  </si>
  <si>
    <t>318</t>
  </si>
  <si>
    <t>Google</t>
  </si>
  <si>
    <t>88%</t>
  </si>
  <si>
    <t>85%</t>
  </si>
  <si>
    <t>52</t>
  </si>
  <si>
    <t>Premium Escandinavo</t>
  </si>
  <si>
    <t>65-70%</t>
  </si>
  <si>
    <t>Premium</t>
  </si>
  <si>
    <t>Volvo EX30 Plus</t>
  </si>
  <si>
    <t>269.950</t>
  </si>
  <si>
    <t>5,3</t>
  </si>
  <si>
    <t>338</t>
  </si>
  <si>
    <t>69</t>
  </si>
  <si>
    <t>28</t>
  </si>
  <si>
    <t>Volvo EX30 Ultra</t>
  </si>
  <si>
    <t>299.950</t>
  </si>
  <si>
    <t>BEV AWD</t>
  </si>
  <si>
    <t>428</t>
  </si>
  <si>
    <t>3,6</t>
  </si>
  <si>
    <t>310</t>
  </si>
  <si>
    <t>Mini Aceman E</t>
  </si>
  <si>
    <t>254.990</t>
  </si>
  <si>
    <t>184</t>
  </si>
  <si>
    <t>9,0</t>
  </si>
  <si>
    <t>270</t>
  </si>
  <si>
    <t>49,2</t>
  </si>
  <si>
    <t>30</t>
  </si>
  <si>
    <t>300</t>
  </si>
  <si>
    <t>Mini OS</t>
  </si>
  <si>
    <t>83%</t>
  </si>
  <si>
    <t>80%</t>
  </si>
  <si>
    <t>50</t>
  </si>
  <si>
    <t>Premium Britânico</t>
  </si>
  <si>
    <t>55-65%</t>
  </si>
  <si>
    <t xml:space="preserve"> EX30</t>
  </si>
  <si>
    <t>Mini Aceman SE</t>
  </si>
  <si>
    <t>304.990</t>
  </si>
  <si>
    <t>218</t>
  </si>
  <si>
    <t>7,1</t>
  </si>
  <si>
    <t>305</t>
  </si>
  <si>
    <t>54</t>
  </si>
  <si>
    <t>BYD Yuan Plus (2025/26)</t>
  </si>
  <si>
    <t>235.800 </t>
  </si>
  <si>
    <t>BEV FWD</t>
  </si>
  <si>
    <t>204 </t>
  </si>
  <si>
    <t>7,3 </t>
  </si>
  <si>
    <t>294 </t>
  </si>
  <si>
    <t>60,5 (Blade LFP)</t>
  </si>
  <si>
    <t>~30</t>
  </si>
  <si>
    <t>440 </t>
  </si>
  <si>
    <t>BYD DiLink 5.0 </t>
  </si>
  <si>
    <t>5 Estrelas (Euro/ANCAP) </t>
  </si>
  <si>
    <t>5 Estrelas </t>
  </si>
  <si>
    <t>~200 </t>
  </si>
  <si>
    <t>Soft-touch / "Gamer" </t>
  </si>
  <si>
    <t>Estável/Alta Liquidez </t>
  </si>
  <si>
    <t>Non Premium</t>
  </si>
  <si>
    <t>BYD Song Plus DM-i</t>
  </si>
  <si>
    <t>219.800</t>
  </si>
  <si>
    <t>PHEV</t>
  </si>
  <si>
    <t>235</t>
  </si>
  <si>
    <t>7,9</t>
  </si>
  <si>
    <t>1.200</t>
  </si>
  <si>
    <t>18,3</t>
  </si>
  <si>
    <t>N/A</t>
  </si>
  <si>
    <t>430</t>
  </si>
  <si>
    <t>BYD OS</t>
  </si>
  <si>
    <t>Crescente</t>
  </si>
  <si>
    <t>Premium Chinês</t>
  </si>
  <si>
    <t>55-60%</t>
  </si>
  <si>
    <t>Jaecoo 7 PHEV</t>
  </si>
  <si>
    <t>229.990</t>
  </si>
  <si>
    <t>339</t>
  </si>
  <si>
    <t>~7,5</t>
  </si>
  <si>
    <t>1.000+</t>
  </si>
  <si>
    <t>20,4</t>
  </si>
  <si>
    <t>425</t>
  </si>
  <si>
    <t>Chery OS</t>
  </si>
  <si>
    <t>Neta X</t>
  </si>
  <si>
    <t>194.900</t>
  </si>
  <si>
    <t>150-204</t>
  </si>
  <si>
    <t>~8,5</t>
  </si>
  <si>
    <t>400-500</t>
  </si>
  <si>
    <t>60-75</t>
  </si>
  <si>
    <t>30-35</t>
  </si>
  <si>
    <t>410</t>
  </si>
  <si>
    <t>Neta OS</t>
  </si>
  <si>
    <t>Em expansão</t>
  </si>
  <si>
    <t>50-55%</t>
  </si>
  <si>
    <t>GAC Aion V</t>
  </si>
  <si>
    <t>214.990</t>
  </si>
  <si>
    <t>204</t>
  </si>
  <si>
    <t>~8,0</t>
  </si>
  <si>
    <t>389</t>
  </si>
  <si>
    <t>75,3</t>
  </si>
  <si>
    <t>420</t>
  </si>
  <si>
    <t>GAC OS</t>
  </si>
  <si>
    <t>Leapmotor B10</t>
  </si>
  <si>
    <t>172.990</t>
  </si>
  <si>
    <t>400+</t>
  </si>
  <si>
    <t>52-65</t>
  </si>
  <si>
    <t>380</t>
  </si>
  <si>
    <t>Leapmotor OS</t>
  </si>
  <si>
    <t>GWM Ora 03 GT</t>
  </si>
  <si>
    <t>R$ 184.000 </t>
  </si>
  <si>
    <t>8,2</t>
  </si>
  <si>
    <t>319 (PBEV)</t>
  </si>
  <si>
    <t>GWM OS</t>
  </si>
  <si>
    <t>5 Estrelas (Euro)</t>
  </si>
  <si>
    <t>~100+</t>
  </si>
  <si>
    <t>Couro Sintético</t>
  </si>
  <si>
    <t>~20%</t>
  </si>
  <si>
    <t>VW Tiguan R-Line 2025</t>
  </si>
  <si>
    <t>R$ 280.762 </t>
  </si>
  <si>
    <t>2.0 Turbo (300 TSI)</t>
  </si>
  <si>
    <t>9,2 </t>
  </si>
  <si>
    <t>N/A (Gasolina)</t>
  </si>
  <si>
    <t>686 (5L) / 216 (7L)</t>
  </si>
  <si>
    <t>VW Play 10.25"</t>
  </si>
  <si>
    <t>86% (Latin NCAP) </t>
  </si>
  <si>
    <t>81% (Latin NCAP) </t>
  </si>
  <si>
    <t>~545 </t>
  </si>
  <si>
    <t>Couro / Soft Touch</t>
  </si>
  <si>
    <t>~23% (1 ano) </t>
  </si>
  <si>
    <t>Ford Bronco Sport 2025</t>
  </si>
  <si>
    <t>R$ 270.000 </t>
  </si>
  <si>
    <t>2.0 Turbo (EcoBoost)</t>
  </si>
  <si>
    <t>SYNC 4 13.2" </t>
  </si>
  <si>
    <t>5 Estrelas (NHTSA)</t>
  </si>
  <si>
    <t>~282 </t>
  </si>
  <si>
    <t>Couro / Borracha</t>
  </si>
  <si>
    <t>6,28% (Valorização) </t>
  </si>
  <si>
    <t>Volvo EC40 Plus</t>
  </si>
  <si>
    <t>329.950</t>
  </si>
  <si>
    <t>238</t>
  </si>
  <si>
    <t>7,4</t>
  </si>
  <si>
    <t>393</t>
  </si>
  <si>
    <t>70</t>
  </si>
  <si>
    <t>413</t>
  </si>
  <si>
    <t>92%</t>
  </si>
  <si>
    <t>Volvo EC40 Ultra</t>
  </si>
  <si>
    <t>379.950</t>
  </si>
  <si>
    <t>442</t>
  </si>
  <si>
    <t>4,6</t>
  </si>
  <si>
    <t>404</t>
  </si>
  <si>
    <t>82</t>
  </si>
  <si>
    <t>BMW X1 sDrive20i GP</t>
  </si>
  <si>
    <t>319.950</t>
  </si>
  <si>
    <t>ICE</t>
  </si>
  <si>
    <t>156</t>
  </si>
  <si>
    <t>-</t>
  </si>
  <si>
    <t>476</t>
  </si>
  <si>
    <t>iDrive</t>
  </si>
  <si>
    <t>86%</t>
  </si>
  <si>
    <t>82%</t>
  </si>
  <si>
    <t>Premium Alemão</t>
  </si>
  <si>
    <t>65%</t>
  </si>
  <si>
    <t>EC40 | EX40</t>
  </si>
  <si>
    <t>BMW X1 sDrive20i M Sport</t>
  </si>
  <si>
    <t>383.950</t>
  </si>
  <si>
    <t>7,3</t>
  </si>
  <si>
    <t>Mercedes GLA 200 Progressive</t>
  </si>
  <si>
    <t>354.900</t>
  </si>
  <si>
    <t>MHEV</t>
  </si>
  <si>
    <t>163</t>
  </si>
  <si>
    <t>8,9</t>
  </si>
  <si>
    <t>435</t>
  </si>
  <si>
    <t>MBUX</t>
  </si>
  <si>
    <t>96%</t>
  </si>
  <si>
    <t>60%</t>
  </si>
  <si>
    <t>Mercedes GLA 250</t>
  </si>
  <si>
    <t>531.900</t>
  </si>
  <si>
    <t>320</t>
  </si>
  <si>
    <t>5,2</t>
  </si>
  <si>
    <t>Audi Q3 35 TFSI</t>
  </si>
  <si>
    <t>333.990</t>
  </si>
  <si>
    <t>150</t>
  </si>
  <si>
    <t>9,6</t>
  </si>
  <si>
    <t>530</t>
  </si>
  <si>
    <t>MMI</t>
  </si>
  <si>
    <t>87%</t>
  </si>
  <si>
    <t>42</t>
  </si>
  <si>
    <t>70%</t>
  </si>
  <si>
    <t>Audi Q3 Performance</t>
  </si>
  <si>
    <t>399.990</t>
  </si>
  <si>
    <t>231</t>
  </si>
  <si>
    <t>7,0</t>
  </si>
  <si>
    <t>GWM Tank 300</t>
  </si>
  <si>
    <t>333.000</t>
  </si>
  <si>
    <t>300+</t>
  </si>
  <si>
    <t>500+</t>
  </si>
  <si>
    <t>450</t>
  </si>
  <si>
    <t>Changan Avatr 11</t>
  </si>
  <si>
    <t>380.000-500.000</t>
  </si>
  <si>
    <t>312-578</t>
  </si>
  <si>
    <t>3,9-6,6</t>
  </si>
  <si>
    <t>450-550</t>
  </si>
  <si>
    <t>82-116</t>
  </si>
  <si>
    <t>480</t>
  </si>
  <si>
    <t>HarmonyOS (Huawei)</t>
  </si>
  <si>
    <t>Leapmotor C10</t>
  </si>
  <si>
    <t>189.990-199.990</t>
  </si>
  <si>
    <t>BEV/REEV</t>
  </si>
  <si>
    <t>440</t>
  </si>
  <si>
    <t>GAC Hyptec HT</t>
  </si>
  <si>
    <t>299.990</t>
  </si>
  <si>
    <t>245</t>
  </si>
  <si>
    <t>362</t>
  </si>
  <si>
    <t>65-80</t>
  </si>
  <si>
    <t>Jeep Commander Blackhawk</t>
  </si>
  <si>
    <t>R$ 324.990 </t>
  </si>
  <si>
    <t>2.0 Turbo (Hurricane)</t>
  </si>
  <si>
    <t>272 </t>
  </si>
  <si>
    <t>7,0 </t>
  </si>
  <si>
    <t>233 (7L) / 661 (5L)</t>
  </si>
  <si>
    <t>Uconnect 5 (10.1")</t>
  </si>
  <si>
    <t>N/A (Plat. Compass)</t>
  </si>
  <si>
    <t>~120 </t>
  </si>
  <si>
    <t>Suede / Couro</t>
  </si>
  <si>
    <t>~17% (1 ano)</t>
  </si>
  <si>
    <t>GWM Haval H6 GT 2025</t>
  </si>
  <si>
    <t>R$ 321.000 </t>
  </si>
  <si>
    <t>PHEV (Hi4)</t>
  </si>
  <si>
    <t>4,8 </t>
  </si>
  <si>
    <t>116 (PBEV) / 170 (Total)</t>
  </si>
  <si>
    <t>34,0</t>
  </si>
  <si>
    <t>Sim (Até 48kW)</t>
  </si>
  <si>
    <t>Coffee OS 3 </t>
  </si>
  <si>
    <t>88% (ANCAP) </t>
  </si>
  <si>
    <t>~100 </t>
  </si>
  <si>
    <t>Camurça / Soft Touch</t>
  </si>
  <si>
    <t>~9,46% </t>
  </si>
  <si>
    <t>BYD Song Plus 2025</t>
  </si>
  <si>
    <t>R$ 249.990 </t>
  </si>
  <si>
    <t>PHEV (DM-i)</t>
  </si>
  <si>
    <t>235 </t>
  </si>
  <si>
    <t>105 (PBEV)</t>
  </si>
  <si>
    <t>18,3 (Novo)</t>
  </si>
  <si>
    <t>Não (6.6kW AC)</t>
  </si>
  <si>
    <t>DiLink 12.3"</t>
  </si>
  <si>
    <t>89% (Euro) </t>
  </si>
  <si>
    <t>87% (Euro) </t>
  </si>
  <si>
    <t>~200+ </t>
  </si>
  <si>
    <t>Soft Touch / Sintético</t>
  </si>
  <si>
    <t>~25% </t>
  </si>
  <si>
    <t>Honda CR-V Adv. Hybrid</t>
  </si>
  <si>
    <t>R$ 352.900 </t>
  </si>
  <si>
    <t>HEV (e:HEV)</t>
  </si>
  <si>
    <t>8,5 (Est.)</t>
  </si>
  <si>
    <t>N/A (Não Plug-in)</t>
  </si>
  <si>
    <t>1,06</t>
  </si>
  <si>
    <t>Não</t>
  </si>
  <si>
    <t>HondaConnect 9"</t>
  </si>
  <si>
    <t>85% (Euro) </t>
  </si>
  <si>
    <t>86% (Euro) </t>
  </si>
  <si>
    <t>~215 </t>
  </si>
  <si>
    <t>~11% </t>
  </si>
  <si>
    <t>Toyota RAV4 SX Connect</t>
  </si>
  <si>
    <t>R$ 349.290 </t>
  </si>
  <si>
    <t>HEV</t>
  </si>
  <si>
    <t>8,1</t>
  </si>
  <si>
    <t>1,6</t>
  </si>
  <si>
    <t>Toyota Play 9"</t>
  </si>
  <si>
    <t>93% (Euro) </t>
  </si>
  <si>
    <t>~300 </t>
  </si>
  <si>
    <t>Couro / Sintético</t>
  </si>
  <si>
    <t>~6,1% </t>
  </si>
  <si>
    <t>Volvo XC60 T8 Plus</t>
  </si>
  <si>
    <t>459.950</t>
  </si>
  <si>
    <t>462</t>
  </si>
  <si>
    <t>4,8</t>
  </si>
  <si>
    <t>60</t>
  </si>
  <si>
    <t>19</t>
  </si>
  <si>
    <t>405</t>
  </si>
  <si>
    <t>95%</t>
  </si>
  <si>
    <t>91%</t>
  </si>
  <si>
    <t>Volvo XC60 T8 Polestar</t>
  </si>
  <si>
    <t>509.950</t>
  </si>
  <si>
    <t>BMW X3 30i</t>
  </si>
  <si>
    <t>420.000</t>
  </si>
  <si>
    <t>258</t>
  </si>
  <si>
    <t>6,3</t>
  </si>
  <si>
    <t>570</t>
  </si>
  <si>
    <t>89%</t>
  </si>
  <si>
    <t>XC60</t>
  </si>
  <si>
    <t>BMW X3 M50 xDrive</t>
  </si>
  <si>
    <t>520.000</t>
  </si>
  <si>
    <t>398</t>
  </si>
  <si>
    <t>5,8</t>
  </si>
  <si>
    <t>Mercedes GLC 300</t>
  </si>
  <si>
    <t>509.900</t>
  </si>
  <si>
    <t>6,2</t>
  </si>
  <si>
    <t>550</t>
  </si>
  <si>
    <t>Mercedes GLC 300 AMG</t>
  </si>
  <si>
    <t>570.000</t>
  </si>
  <si>
    <t>GWM Wey 07</t>
  </si>
  <si>
    <t>429.000</t>
  </si>
  <si>
    <t>517</t>
  </si>
  <si>
    <t>~5,5</t>
  </si>
  <si>
    <t>27,9</t>
  </si>
  <si>
    <t>BYD Tan EV</t>
  </si>
  <si>
    <t>536.800</t>
  </si>
  <si>
    <t>~6,5</t>
  </si>
  <si>
    <t>108-120</t>
  </si>
  <si>
    <t>500</t>
  </si>
  <si>
    <t>Denza B5</t>
  </si>
  <si>
    <t>436.000</t>
  </si>
  <si>
    <t>BEV/PHEV</t>
  </si>
  <si>
    <t>85-110</t>
  </si>
  <si>
    <t>490</t>
  </si>
  <si>
    <t>Premium Chinês Luxo</t>
  </si>
  <si>
    <t>Toyota SW4 Diamond</t>
  </si>
  <si>
    <t>R$ 449.900 </t>
  </si>
  <si>
    <t>2.8 Turbodiesel</t>
  </si>
  <si>
    <t>11,8</t>
  </si>
  <si>
    <t>180 (7L) / 500+</t>
  </si>
  <si>
    <t>Toyota Play (9")</t>
  </si>
  <si>
    <t>78% (Latin 2019)</t>
  </si>
  <si>
    <t>86% (Latin 2019)</t>
  </si>
  <si>
    <t>Couro Perfurado</t>
  </si>
  <si>
    <t>~14% (1 ano)</t>
  </si>
  <si>
    <t>Mitsubishi Pajero Sport Legend</t>
  </si>
  <si>
    <t>R$ 426.990 </t>
  </si>
  <si>
    <t>2.4 Turbodiesel</t>
  </si>
  <si>
    <t>12,3</t>
  </si>
  <si>
    <t>JBL (Multimídia)</t>
  </si>
  <si>
    <t>~190 </t>
  </si>
  <si>
    <t>Couro Preto</t>
  </si>
  <si>
    <t>~18% (1 ano)</t>
  </si>
  <si>
    <t>BYD Tan EV 2025</t>
  </si>
  <si>
    <t>R$ 536.800 </t>
  </si>
  <si>
    <t>BEV (Elétrico Puro)</t>
  </si>
  <si>
    <t>4,9</t>
  </si>
  <si>
    <t>108,8</t>
  </si>
  <si>
    <t>235 (7L) / 940</t>
  </si>
  <si>
    <t>DiLink 15.6"</t>
  </si>
  <si>
    <t>Couro Premium</t>
  </si>
  <si>
    <t>~25% (1 ano)</t>
  </si>
  <si>
    <t>Volvo XC90 T8 Plus</t>
  </si>
  <si>
    <t>639.000</t>
  </si>
  <si>
    <t>47</t>
  </si>
  <si>
    <t>18,8</t>
  </si>
  <si>
    <t>97%</t>
  </si>
  <si>
    <t>93%</t>
  </si>
  <si>
    <t>Volvo XC90 T8 Ultra Dark</t>
  </si>
  <si>
    <t>739.000</t>
  </si>
  <si>
    <t>BMW X5 xDrive40i</t>
  </si>
  <si>
    <t>750.000</t>
  </si>
  <si>
    <t>340</t>
  </si>
  <si>
    <t>6,1</t>
  </si>
  <si>
    <t>645</t>
  </si>
  <si>
    <t>94%</t>
  </si>
  <si>
    <t>90%</t>
  </si>
  <si>
    <t>XC90</t>
  </si>
  <si>
    <t>BMW X5 xDrive50e PHEV</t>
  </si>
  <si>
    <t>838.950</t>
  </si>
  <si>
    <t>516</t>
  </si>
  <si>
    <t>80</t>
  </si>
  <si>
    <t>25,6</t>
  </si>
  <si>
    <t>Mercedes GLE 450</t>
  </si>
  <si>
    <t>100</t>
  </si>
  <si>
    <t>31,2</t>
  </si>
  <si>
    <t>Mercedes GLE 580</t>
  </si>
  <si>
    <t>890.000</t>
  </si>
  <si>
    <t>4,7</t>
  </si>
  <si>
    <t>BYD Han EV</t>
  </si>
  <si>
    <t>559.800</t>
  </si>
  <si>
    <t>~3,9</t>
  </si>
  <si>
    <t>Denza Z9 GT</t>
  </si>
  <si>
    <t>650.000</t>
  </si>
  <si>
    <t>600+</t>
  </si>
  <si>
    <t>100-120</t>
  </si>
  <si>
    <t>520</t>
  </si>
  <si>
    <t>BYD Yangwang U7</t>
  </si>
  <si>
    <t>497.000-561.000</t>
  </si>
  <si>
    <t>PHEV/BEV</t>
  </si>
  <si>
    <t>1.287</t>
  </si>
  <si>
    <t>~4,0</t>
  </si>
  <si>
    <t>110-150</t>
  </si>
  <si>
    <t>510</t>
  </si>
  <si>
    <t>Não confirmado</t>
  </si>
  <si>
    <t>Ultra-Premium Chinês</t>
  </si>
  <si>
    <t>60-65%</t>
  </si>
  <si>
    <t>Volvo EX90 Ultra Performance</t>
  </si>
  <si>
    <t>849.950</t>
  </si>
  <si>
    <t>BEV AWD Performance</t>
  </si>
  <si>
    <t>459</t>
  </si>
  <si>
    <t>111</t>
  </si>
  <si>
    <t>689</t>
  </si>
  <si>
    <t>BMW iX xDrive40</t>
  </si>
  <si>
    <t>408</t>
  </si>
  <si>
    <t>5,1</t>
  </si>
  <si>
    <t>100,1</t>
  </si>
  <si>
    <t>35</t>
  </si>
  <si>
    <t>750</t>
  </si>
  <si>
    <t>EX90</t>
  </si>
  <si>
    <t>BMW iX xDrive50</t>
  </si>
  <si>
    <t>900.000</t>
  </si>
  <si>
    <t>544</t>
  </si>
  <si>
    <t>528</t>
  </si>
  <si>
    <t>Mercedes EQE SUV 350</t>
  </si>
  <si>
    <t>820.000</t>
  </si>
  <si>
    <t>BEV RWD</t>
  </si>
  <si>
    <t>292</t>
  </si>
  <si>
    <t>6,5</t>
  </si>
  <si>
    <t>406</t>
  </si>
  <si>
    <t>96</t>
  </si>
  <si>
    <t>31</t>
  </si>
  <si>
    <t>Mercedes EQE SUV 500</t>
  </si>
  <si>
    <t>920.000</t>
  </si>
  <si>
    <t>402</t>
  </si>
  <si>
    <t>Audi Q8 E-Tron 50</t>
  </si>
  <si>
    <t>850.000</t>
  </si>
  <si>
    <t>286</t>
  </si>
  <si>
    <t>6,0</t>
  </si>
  <si>
    <t>32</t>
  </si>
  <si>
    <t>660</t>
  </si>
  <si>
    <t>Audi Q8 E-Tron 55</t>
  </si>
  <si>
    <t>880.000</t>
  </si>
  <si>
    <t>335</t>
  </si>
  <si>
    <t>5,6</t>
  </si>
  <si>
    <t>452</t>
  </si>
  <si>
    <t>Denza D9</t>
  </si>
  <si>
    <t>800.000</t>
  </si>
  <si>
    <t>300-407</t>
  </si>
  <si>
    <t>6,9</t>
  </si>
  <si>
    <t>600-1.040</t>
  </si>
  <si>
    <t>20,4-58,2</t>
  </si>
  <si>
    <t>BYD Yangwang U8</t>
  </si>
  <si>
    <t>~1.000.000</t>
  </si>
  <si>
    <t>~4,5</t>
  </si>
  <si>
    <t>600</t>
  </si>
  <si>
    <t>BYD Yangwang U9</t>
  </si>
  <si>
    <t>700.000</t>
  </si>
  <si>
    <t>1.305</t>
  </si>
  <si>
    <t>~2,7</t>
  </si>
  <si>
    <t>80-100</t>
  </si>
  <si>
    <t>580</t>
  </si>
  <si>
    <t>comparison</t>
  </si>
  <si>
    <t>segment</t>
  </si>
  <si>
    <t>model</t>
  </si>
  <si>
    <t>price</t>
  </si>
  <si>
    <t>engine</t>
  </si>
  <si>
    <t>power</t>
  </si>
  <si>
    <t>intensity</t>
  </si>
  <si>
    <t>autonomy</t>
  </si>
  <si>
    <t>battery</t>
  </si>
  <si>
    <t>time_recharge</t>
  </si>
  <si>
    <t>trunk</t>
  </si>
  <si>
    <t>sistem</t>
  </si>
  <si>
    <t>ncap_adult</t>
  </si>
  <si>
    <t>ncap_child</t>
  </si>
  <si>
    <t>dealers</t>
  </si>
  <si>
    <t>quality_materials</t>
  </si>
  <si>
    <t>resale</t>
  </si>
  <si>
    <t>EX30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</si>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</sst>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b/>
      <sz val="10"/>
      <color rgb="FFFFFFFF"/>
      <name val="Calibri"/>
      <family val="2"/>
    </font>
    <font>
      <b/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E5C8A"/>
        <bgColor rgb="FF2E5C8A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theme="8"/>
        <bgColor rgb="FFE2EFDA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rgb="FFD9E1F2"/>
      </patternFill>
    </fill>
    <fill>
      <patternFill patternType="solid">
        <fgColor rgb="FFFFFF00"/>
        <bgColor rgb="FFE2EFD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27CE-7DBA-483D-948C-AD0CAC26488B}">
  <dimension ref="A1:R63"/>
  <sheetViews>
    <sheetView tabSelected="1" workbookViewId="0">
      <selection activeCell="J1" sqref="J1:J1048576"/>
    </sheetView>
  </sheetViews>
  <sheetFormatPr defaultRowHeight="14.4" x14ac:dyDescent="0.3"/>
  <cols>
    <col min="2" max="2" width="29.77734375" customWidth="1"/>
    <col min="3" max="3" width="11.109375" style="14" customWidth="1"/>
    <col min="4" max="4" width="24.77734375" customWidth="1"/>
    <col min="5" max="5" width="12.21875" customWidth="1"/>
    <col min="6" max="6" width="12.77734375" customWidth="1"/>
    <col min="7" max="7" width="22.88671875" customWidth="1"/>
    <col min="8" max="8" width="17.109375" customWidth="1"/>
    <col min="9" max="9" width="21.21875" customWidth="1"/>
    <col min="10" max="10" width="15.44140625" style="14" customWidth="1"/>
    <col min="11" max="11" width="16.77734375" customWidth="1"/>
    <col min="12" max="12" width="23.33203125" style="14" customWidth="1"/>
    <col min="13" max="13" width="21.21875" style="14" bestFit="1" customWidth="1"/>
    <col min="14" max="14" width="19.88671875" style="14" bestFit="1" customWidth="1"/>
    <col min="15" max="15" width="21.21875" customWidth="1"/>
    <col min="16" max="16" width="18.6640625" style="14" bestFit="1" customWidth="1"/>
    <col min="17" max="17" width="12.109375" customWidth="1"/>
    <col min="18" max="18" width="13" customWidth="1"/>
  </cols>
  <sheetData>
    <row r="1" spans="1:18" x14ac:dyDescent="0.3">
      <c r="A1" t="s">
        <v>464</v>
      </c>
      <c r="B1" s="1" t="s">
        <v>448</v>
      </c>
      <c r="C1" s="10" t="s">
        <v>449</v>
      </c>
      <c r="D1" s="2" t="s">
        <v>450</v>
      </c>
      <c r="E1" s="10" t="s">
        <v>451</v>
      </c>
      <c r="F1" s="10" t="s">
        <v>452</v>
      </c>
      <c r="G1" s="13" t="s">
        <v>453</v>
      </c>
      <c r="H1" s="13" t="s">
        <v>454</v>
      </c>
      <c r="I1" s="13" t="s">
        <v>455</v>
      </c>
      <c r="J1" s="13" t="s">
        <v>456</v>
      </c>
      <c r="K1" s="9" t="s">
        <v>457</v>
      </c>
      <c r="L1" s="13" t="s">
        <v>458</v>
      </c>
      <c r="M1" s="13" t="s">
        <v>459</v>
      </c>
      <c r="N1" s="13" t="s">
        <v>460</v>
      </c>
      <c r="O1" s="9" t="s">
        <v>461</v>
      </c>
      <c r="P1" s="13" t="s">
        <v>462</v>
      </c>
      <c r="Q1" s="2" t="s">
        <v>446</v>
      </c>
      <c r="R1" s="2" t="s">
        <v>447</v>
      </c>
    </row>
    <row r="2" spans="1:18" x14ac:dyDescent="0.3">
      <c r="A2" t="str">
        <f>_xlfn.TEXTBEFORE(B2," ")</f>
        <v>Volvo</v>
      </c>
      <c r="B2" s="3" t="s">
        <v>0</v>
      </c>
      <c r="C2" s="11" t="s">
        <v>1</v>
      </c>
      <c r="D2" s="4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4" t="s">
        <v>9</v>
      </c>
      <c r="L2" s="11" t="s">
        <v>10</v>
      </c>
      <c r="M2" s="11" t="s">
        <v>11</v>
      </c>
      <c r="N2" s="11" t="s">
        <v>12</v>
      </c>
      <c r="O2" s="4" t="s">
        <v>13</v>
      </c>
      <c r="P2" s="11" t="s">
        <v>14</v>
      </c>
      <c r="Q2" s="5" t="s">
        <v>463</v>
      </c>
      <c r="R2" s="5" t="s">
        <v>15</v>
      </c>
    </row>
    <row r="3" spans="1:18" x14ac:dyDescent="0.3">
      <c r="A3" t="str">
        <f t="shared" ref="A3:A63" si="0">_xlfn.TEXTBEFORE(B3," ")</f>
        <v>Volvo</v>
      </c>
      <c r="B3" s="3" t="s">
        <v>16</v>
      </c>
      <c r="C3" s="11" t="s">
        <v>17</v>
      </c>
      <c r="D3" s="4" t="s">
        <v>2</v>
      </c>
      <c r="E3" s="11" t="s">
        <v>3</v>
      </c>
      <c r="F3" s="11" t="s">
        <v>18</v>
      </c>
      <c r="G3" s="11" t="s">
        <v>19</v>
      </c>
      <c r="H3" s="11" t="s">
        <v>20</v>
      </c>
      <c r="I3" s="11" t="s">
        <v>21</v>
      </c>
      <c r="J3" s="11" t="s">
        <v>8</v>
      </c>
      <c r="K3" s="4" t="s">
        <v>9</v>
      </c>
      <c r="L3" s="11" t="s">
        <v>10</v>
      </c>
      <c r="M3" s="11" t="s">
        <v>11</v>
      </c>
      <c r="N3" s="11" t="s">
        <v>12</v>
      </c>
      <c r="O3" s="4" t="s">
        <v>13</v>
      </c>
      <c r="P3" s="11" t="s">
        <v>14</v>
      </c>
      <c r="Q3" s="5" t="s">
        <v>463</v>
      </c>
      <c r="R3" s="5" t="s">
        <v>15</v>
      </c>
    </row>
    <row r="4" spans="1:18" x14ac:dyDescent="0.3">
      <c r="A4" t="str">
        <f t="shared" si="0"/>
        <v>Volvo</v>
      </c>
      <c r="B4" s="3" t="s">
        <v>22</v>
      </c>
      <c r="C4" s="11" t="s">
        <v>23</v>
      </c>
      <c r="D4" s="4" t="s">
        <v>24</v>
      </c>
      <c r="E4" s="11" t="s">
        <v>25</v>
      </c>
      <c r="F4" s="11" t="s">
        <v>26</v>
      </c>
      <c r="G4" s="11" t="s">
        <v>27</v>
      </c>
      <c r="H4" s="11" t="s">
        <v>20</v>
      </c>
      <c r="I4" s="11" t="s">
        <v>7</v>
      </c>
      <c r="J4" s="11" t="s">
        <v>8</v>
      </c>
      <c r="K4" s="4" t="s">
        <v>9</v>
      </c>
      <c r="L4" s="11" t="s">
        <v>10</v>
      </c>
      <c r="M4" s="11" t="s">
        <v>11</v>
      </c>
      <c r="N4" s="11" t="s">
        <v>12</v>
      </c>
      <c r="O4" s="4" t="s">
        <v>13</v>
      </c>
      <c r="P4" s="11" t="s">
        <v>14</v>
      </c>
      <c r="Q4" s="5" t="s">
        <v>463</v>
      </c>
      <c r="R4" s="5" t="s">
        <v>15</v>
      </c>
    </row>
    <row r="5" spans="1:18" x14ac:dyDescent="0.3">
      <c r="A5" t="str">
        <f t="shared" si="0"/>
        <v>Mini</v>
      </c>
      <c r="B5" s="3" t="s">
        <v>28</v>
      </c>
      <c r="C5" s="12" t="s">
        <v>29</v>
      </c>
      <c r="D5" s="6" t="s">
        <v>2</v>
      </c>
      <c r="E5" s="12" t="s">
        <v>30</v>
      </c>
      <c r="F5" s="12" t="s">
        <v>31</v>
      </c>
      <c r="G5" s="12" t="s">
        <v>32</v>
      </c>
      <c r="H5" s="12" t="s">
        <v>33</v>
      </c>
      <c r="I5" s="12" t="s">
        <v>34</v>
      </c>
      <c r="J5" s="12" t="s">
        <v>35</v>
      </c>
      <c r="K5" s="6" t="s">
        <v>36</v>
      </c>
      <c r="L5" s="12" t="s">
        <v>37</v>
      </c>
      <c r="M5" s="12" t="s">
        <v>38</v>
      </c>
      <c r="N5" s="12" t="s">
        <v>39</v>
      </c>
      <c r="O5" s="6" t="s">
        <v>40</v>
      </c>
      <c r="P5" s="12" t="s">
        <v>41</v>
      </c>
      <c r="Q5" s="5" t="s">
        <v>42</v>
      </c>
      <c r="R5" s="5" t="s">
        <v>15</v>
      </c>
    </row>
    <row r="6" spans="1:18" x14ac:dyDescent="0.3">
      <c r="A6" t="str">
        <f t="shared" si="0"/>
        <v>Mini</v>
      </c>
      <c r="B6" s="3" t="s">
        <v>43</v>
      </c>
      <c r="C6" s="12" t="s">
        <v>44</v>
      </c>
      <c r="D6" s="6" t="s">
        <v>2</v>
      </c>
      <c r="E6" s="12" t="s">
        <v>45</v>
      </c>
      <c r="F6" s="12" t="s">
        <v>46</v>
      </c>
      <c r="G6" s="12" t="s">
        <v>47</v>
      </c>
      <c r="H6" s="12" t="s">
        <v>48</v>
      </c>
      <c r="I6" s="12" t="s">
        <v>34</v>
      </c>
      <c r="J6" s="12" t="s">
        <v>35</v>
      </c>
      <c r="K6" s="6" t="s">
        <v>36</v>
      </c>
      <c r="L6" s="12" t="s">
        <v>37</v>
      </c>
      <c r="M6" s="12" t="s">
        <v>38</v>
      </c>
      <c r="N6" s="12" t="s">
        <v>39</v>
      </c>
      <c r="O6" s="6" t="s">
        <v>40</v>
      </c>
      <c r="P6" s="12" t="s">
        <v>41</v>
      </c>
      <c r="Q6" s="5" t="s">
        <v>42</v>
      </c>
      <c r="R6" s="5" t="s">
        <v>15</v>
      </c>
    </row>
    <row r="7" spans="1:18" x14ac:dyDescent="0.3">
      <c r="A7" t="str">
        <f t="shared" si="0"/>
        <v>BYD</v>
      </c>
      <c r="B7" s="7" t="s">
        <v>49</v>
      </c>
      <c r="C7" s="12" t="s">
        <v>50</v>
      </c>
      <c r="D7" s="6" t="s">
        <v>51</v>
      </c>
      <c r="E7" s="12" t="s">
        <v>52</v>
      </c>
      <c r="F7" s="12" t="s">
        <v>53</v>
      </c>
      <c r="G7" s="12" t="s">
        <v>54</v>
      </c>
      <c r="H7" s="12" t="s">
        <v>55</v>
      </c>
      <c r="I7" s="12" t="s">
        <v>56</v>
      </c>
      <c r="J7" s="12" t="s">
        <v>57</v>
      </c>
      <c r="K7" s="6" t="s">
        <v>58</v>
      </c>
      <c r="L7" s="12" t="s">
        <v>59</v>
      </c>
      <c r="M7" s="12" t="s">
        <v>60</v>
      </c>
      <c r="N7" s="12" t="s">
        <v>61</v>
      </c>
      <c r="O7" s="6" t="s">
        <v>62</v>
      </c>
      <c r="P7" s="12" t="s">
        <v>63</v>
      </c>
      <c r="Q7" s="5" t="s">
        <v>42</v>
      </c>
      <c r="R7" s="5" t="s">
        <v>64</v>
      </c>
    </row>
    <row r="8" spans="1:18" x14ac:dyDescent="0.3">
      <c r="A8" t="str">
        <f t="shared" si="0"/>
        <v>BYD</v>
      </c>
      <c r="B8" s="8" t="s">
        <v>65</v>
      </c>
      <c r="C8" s="12" t="s">
        <v>66</v>
      </c>
      <c r="D8" s="6" t="s">
        <v>67</v>
      </c>
      <c r="E8" s="12" t="s">
        <v>68</v>
      </c>
      <c r="F8" s="12" t="s">
        <v>69</v>
      </c>
      <c r="G8" s="12" t="s">
        <v>70</v>
      </c>
      <c r="H8" s="12" t="s">
        <v>71</v>
      </c>
      <c r="I8" s="12" t="s">
        <v>72</v>
      </c>
      <c r="J8" s="12" t="s">
        <v>73</v>
      </c>
      <c r="K8" s="6" t="s">
        <v>74</v>
      </c>
      <c r="L8" s="12" t="s">
        <v>72</v>
      </c>
      <c r="M8" s="12" t="s">
        <v>72</v>
      </c>
      <c r="N8" s="12" t="s">
        <v>75</v>
      </c>
      <c r="O8" s="6" t="s">
        <v>76</v>
      </c>
      <c r="P8" s="12" t="s">
        <v>77</v>
      </c>
      <c r="Q8" s="5" t="s">
        <v>42</v>
      </c>
      <c r="R8" s="5" t="s">
        <v>64</v>
      </c>
    </row>
    <row r="9" spans="1:18" x14ac:dyDescent="0.3">
      <c r="A9" t="str">
        <f t="shared" si="0"/>
        <v>Jaecoo</v>
      </c>
      <c r="B9" s="8" t="s">
        <v>78</v>
      </c>
      <c r="C9" s="12" t="s">
        <v>79</v>
      </c>
      <c r="D9" s="6" t="s">
        <v>67</v>
      </c>
      <c r="E9" s="12" t="s">
        <v>80</v>
      </c>
      <c r="F9" s="12" t="s">
        <v>81</v>
      </c>
      <c r="G9" s="12" t="s">
        <v>82</v>
      </c>
      <c r="H9" s="12" t="s">
        <v>83</v>
      </c>
      <c r="I9" s="12" t="s">
        <v>72</v>
      </c>
      <c r="J9" s="12" t="s">
        <v>84</v>
      </c>
      <c r="K9" s="6" t="s">
        <v>85</v>
      </c>
      <c r="L9" s="12" t="s">
        <v>72</v>
      </c>
      <c r="M9" s="12" t="s">
        <v>72</v>
      </c>
      <c r="N9" s="12" t="s">
        <v>75</v>
      </c>
      <c r="O9" s="6" t="s">
        <v>76</v>
      </c>
      <c r="P9" s="12" t="s">
        <v>77</v>
      </c>
      <c r="Q9" s="5" t="s">
        <v>42</v>
      </c>
      <c r="R9" s="5" t="s">
        <v>64</v>
      </c>
    </row>
    <row r="10" spans="1:18" x14ac:dyDescent="0.3">
      <c r="A10" t="str">
        <f t="shared" si="0"/>
        <v>Neta</v>
      </c>
      <c r="B10" s="8" t="s">
        <v>86</v>
      </c>
      <c r="C10" s="12" t="s">
        <v>87</v>
      </c>
      <c r="D10" s="6" t="s">
        <v>2</v>
      </c>
      <c r="E10" s="12" t="s">
        <v>88</v>
      </c>
      <c r="F10" s="12" t="s">
        <v>89</v>
      </c>
      <c r="G10" s="12" t="s">
        <v>90</v>
      </c>
      <c r="H10" s="12" t="s">
        <v>91</v>
      </c>
      <c r="I10" s="12" t="s">
        <v>92</v>
      </c>
      <c r="J10" s="12" t="s">
        <v>93</v>
      </c>
      <c r="K10" s="6" t="s">
        <v>94</v>
      </c>
      <c r="L10" s="12" t="s">
        <v>72</v>
      </c>
      <c r="M10" s="12" t="s">
        <v>72</v>
      </c>
      <c r="N10" s="12" t="s">
        <v>95</v>
      </c>
      <c r="O10" s="6" t="s">
        <v>76</v>
      </c>
      <c r="P10" s="12" t="s">
        <v>96</v>
      </c>
      <c r="Q10" s="5" t="s">
        <v>42</v>
      </c>
      <c r="R10" s="5" t="s">
        <v>64</v>
      </c>
    </row>
    <row r="11" spans="1:18" x14ac:dyDescent="0.3">
      <c r="A11" t="str">
        <f t="shared" si="0"/>
        <v>GAC</v>
      </c>
      <c r="B11" s="8" t="s">
        <v>97</v>
      </c>
      <c r="C11" s="12" t="s">
        <v>98</v>
      </c>
      <c r="D11" s="6" t="s">
        <v>2</v>
      </c>
      <c r="E11" s="12" t="s">
        <v>99</v>
      </c>
      <c r="F11" s="12" t="s">
        <v>100</v>
      </c>
      <c r="G11" s="12" t="s">
        <v>101</v>
      </c>
      <c r="H11" s="12" t="s">
        <v>102</v>
      </c>
      <c r="I11" s="12" t="s">
        <v>92</v>
      </c>
      <c r="J11" s="12" t="s">
        <v>103</v>
      </c>
      <c r="K11" s="6" t="s">
        <v>104</v>
      </c>
      <c r="L11" s="12" t="s">
        <v>72</v>
      </c>
      <c r="M11" s="12" t="s">
        <v>72</v>
      </c>
      <c r="N11" s="12" t="s">
        <v>95</v>
      </c>
      <c r="O11" s="6" t="s">
        <v>76</v>
      </c>
      <c r="P11" s="12" t="s">
        <v>96</v>
      </c>
      <c r="Q11" s="5" t="s">
        <v>42</v>
      </c>
      <c r="R11" s="5" t="s">
        <v>64</v>
      </c>
    </row>
    <row r="12" spans="1:18" x14ac:dyDescent="0.3">
      <c r="A12" t="str">
        <f t="shared" si="0"/>
        <v>Leapmotor</v>
      </c>
      <c r="B12" s="8" t="s">
        <v>105</v>
      </c>
      <c r="C12" s="12" t="s">
        <v>106</v>
      </c>
      <c r="D12" s="6" t="s">
        <v>2</v>
      </c>
      <c r="E12" s="12" t="s">
        <v>45</v>
      </c>
      <c r="F12" s="12" t="s">
        <v>100</v>
      </c>
      <c r="G12" s="12" t="s">
        <v>107</v>
      </c>
      <c r="H12" s="12" t="s">
        <v>108</v>
      </c>
      <c r="I12" s="12" t="s">
        <v>92</v>
      </c>
      <c r="J12" s="12" t="s">
        <v>109</v>
      </c>
      <c r="K12" s="6" t="s">
        <v>110</v>
      </c>
      <c r="L12" s="12" t="s">
        <v>72</v>
      </c>
      <c r="M12" s="12" t="s">
        <v>72</v>
      </c>
      <c r="N12" s="12" t="s">
        <v>95</v>
      </c>
      <c r="O12" s="6" t="s">
        <v>76</v>
      </c>
      <c r="P12" s="12" t="s">
        <v>96</v>
      </c>
      <c r="Q12" s="5" t="s">
        <v>42</v>
      </c>
      <c r="R12" s="5" t="s">
        <v>64</v>
      </c>
    </row>
    <row r="13" spans="1:18" x14ac:dyDescent="0.3">
      <c r="A13" t="str">
        <f t="shared" si="0"/>
        <v>GWM</v>
      </c>
      <c r="B13" s="8" t="s">
        <v>111</v>
      </c>
      <c r="C13" s="12" t="s">
        <v>112</v>
      </c>
      <c r="D13" s="6" t="s">
        <v>51</v>
      </c>
      <c r="E13" s="12">
        <v>171</v>
      </c>
      <c r="F13" s="12" t="s">
        <v>113</v>
      </c>
      <c r="G13" s="12" t="s">
        <v>114</v>
      </c>
      <c r="H13" s="12">
        <v>63</v>
      </c>
      <c r="I13" s="12">
        <v>40</v>
      </c>
      <c r="J13" s="12">
        <v>228</v>
      </c>
      <c r="K13" s="6" t="s">
        <v>115</v>
      </c>
      <c r="L13" s="12" t="s">
        <v>116</v>
      </c>
      <c r="M13" s="12" t="s">
        <v>116</v>
      </c>
      <c r="N13" s="12" t="s">
        <v>117</v>
      </c>
      <c r="O13" s="6" t="s">
        <v>118</v>
      </c>
      <c r="P13" s="12" t="s">
        <v>119</v>
      </c>
      <c r="Q13" s="5" t="s">
        <v>42</v>
      </c>
      <c r="R13" s="5" t="s">
        <v>64</v>
      </c>
    </row>
    <row r="14" spans="1:18" x14ac:dyDescent="0.3">
      <c r="A14" t="str">
        <f t="shared" si="0"/>
        <v>VW</v>
      </c>
      <c r="B14" s="8" t="s">
        <v>120</v>
      </c>
      <c r="C14" s="12" t="s">
        <v>121</v>
      </c>
      <c r="D14" s="6" t="s">
        <v>122</v>
      </c>
      <c r="E14" s="12">
        <v>186</v>
      </c>
      <c r="F14" s="12" t="s">
        <v>123</v>
      </c>
      <c r="G14" s="12" t="s">
        <v>124</v>
      </c>
      <c r="H14" s="12" t="s">
        <v>72</v>
      </c>
      <c r="I14" s="12" t="s">
        <v>72</v>
      </c>
      <c r="J14" s="12" t="s">
        <v>125</v>
      </c>
      <c r="K14" s="6" t="s">
        <v>126</v>
      </c>
      <c r="L14" s="12" t="s">
        <v>127</v>
      </c>
      <c r="M14" s="12" t="s">
        <v>128</v>
      </c>
      <c r="N14" s="12" t="s">
        <v>129</v>
      </c>
      <c r="O14" s="6" t="s">
        <v>130</v>
      </c>
      <c r="P14" s="12" t="s">
        <v>131</v>
      </c>
      <c r="Q14" s="5" t="s">
        <v>42</v>
      </c>
      <c r="R14" s="5" t="s">
        <v>64</v>
      </c>
    </row>
    <row r="15" spans="1:18" x14ac:dyDescent="0.3">
      <c r="A15" t="str">
        <f t="shared" si="0"/>
        <v>Ford</v>
      </c>
      <c r="B15" s="8" t="s">
        <v>132</v>
      </c>
      <c r="C15" s="12" t="s">
        <v>133</v>
      </c>
      <c r="D15" s="6" t="s">
        <v>134</v>
      </c>
      <c r="E15" s="12">
        <v>253</v>
      </c>
      <c r="F15" s="12" t="s">
        <v>46</v>
      </c>
      <c r="G15" s="12" t="s">
        <v>124</v>
      </c>
      <c r="H15" s="12" t="s">
        <v>72</v>
      </c>
      <c r="I15" s="12" t="s">
        <v>72</v>
      </c>
      <c r="J15" s="12">
        <v>580</v>
      </c>
      <c r="K15" s="6" t="s">
        <v>135</v>
      </c>
      <c r="L15" s="12" t="s">
        <v>136</v>
      </c>
      <c r="M15" s="12" t="s">
        <v>136</v>
      </c>
      <c r="N15" s="12" t="s">
        <v>137</v>
      </c>
      <c r="O15" s="6" t="s">
        <v>138</v>
      </c>
      <c r="P15" s="12" t="s">
        <v>139</v>
      </c>
      <c r="Q15" s="5" t="s">
        <v>42</v>
      </c>
      <c r="R15" s="5" t="s">
        <v>64</v>
      </c>
    </row>
    <row r="16" spans="1:18" x14ac:dyDescent="0.3">
      <c r="A16" t="str">
        <f t="shared" si="0"/>
        <v>Volvo</v>
      </c>
      <c r="B16" s="3" t="s">
        <v>140</v>
      </c>
      <c r="C16" s="11" t="s">
        <v>141</v>
      </c>
      <c r="D16" s="4" t="s">
        <v>2</v>
      </c>
      <c r="E16" s="11" t="s">
        <v>142</v>
      </c>
      <c r="F16" s="11" t="s">
        <v>143</v>
      </c>
      <c r="G16" s="11" t="s">
        <v>144</v>
      </c>
      <c r="H16" s="11" t="s">
        <v>145</v>
      </c>
      <c r="I16" s="11" t="s">
        <v>7</v>
      </c>
      <c r="J16" s="11" t="s">
        <v>146</v>
      </c>
      <c r="K16" s="4" t="s">
        <v>9</v>
      </c>
      <c r="L16" s="11" t="s">
        <v>147</v>
      </c>
      <c r="M16" s="11" t="s">
        <v>10</v>
      </c>
      <c r="N16" s="11" t="s">
        <v>12</v>
      </c>
      <c r="O16" s="4" t="s">
        <v>13</v>
      </c>
      <c r="P16" s="11" t="s">
        <v>14</v>
      </c>
      <c r="Q16" s="5" t="s">
        <v>165</v>
      </c>
      <c r="R16" s="5" t="s">
        <v>15</v>
      </c>
    </row>
    <row r="17" spans="1:18" x14ac:dyDescent="0.3">
      <c r="A17" t="str">
        <f t="shared" si="0"/>
        <v>Volvo</v>
      </c>
      <c r="B17" s="3" t="s">
        <v>148</v>
      </c>
      <c r="C17" s="11" t="s">
        <v>149</v>
      </c>
      <c r="D17" s="4" t="s">
        <v>24</v>
      </c>
      <c r="E17" s="11" t="s">
        <v>150</v>
      </c>
      <c r="F17" s="11" t="s">
        <v>151</v>
      </c>
      <c r="G17" s="11" t="s">
        <v>152</v>
      </c>
      <c r="H17" s="11" t="s">
        <v>153</v>
      </c>
      <c r="I17" s="11" t="s">
        <v>7</v>
      </c>
      <c r="J17" s="11" t="s">
        <v>146</v>
      </c>
      <c r="K17" s="4" t="s">
        <v>9</v>
      </c>
      <c r="L17" s="11" t="s">
        <v>147</v>
      </c>
      <c r="M17" s="11" t="s">
        <v>10</v>
      </c>
      <c r="N17" s="11" t="s">
        <v>12</v>
      </c>
      <c r="O17" s="4" t="s">
        <v>13</v>
      </c>
      <c r="P17" s="11" t="s">
        <v>14</v>
      </c>
      <c r="Q17" s="5" t="s">
        <v>165</v>
      </c>
      <c r="R17" s="5" t="s">
        <v>15</v>
      </c>
    </row>
    <row r="18" spans="1:18" x14ac:dyDescent="0.3">
      <c r="A18" t="str">
        <f t="shared" si="0"/>
        <v>BMW</v>
      </c>
      <c r="B18" s="3" t="s">
        <v>154</v>
      </c>
      <c r="C18" s="12" t="s">
        <v>155</v>
      </c>
      <c r="D18" s="6" t="s">
        <v>156</v>
      </c>
      <c r="E18" s="12" t="s">
        <v>157</v>
      </c>
      <c r="F18" s="12" t="s">
        <v>31</v>
      </c>
      <c r="G18" s="12" t="s">
        <v>158</v>
      </c>
      <c r="H18" s="12" t="s">
        <v>158</v>
      </c>
      <c r="I18" s="12" t="s">
        <v>158</v>
      </c>
      <c r="J18" s="12" t="s">
        <v>159</v>
      </c>
      <c r="K18" s="6" t="s">
        <v>160</v>
      </c>
      <c r="L18" s="12" t="s">
        <v>161</v>
      </c>
      <c r="M18" s="12" t="s">
        <v>162</v>
      </c>
      <c r="N18" s="12" t="s">
        <v>39</v>
      </c>
      <c r="O18" s="6" t="s">
        <v>163</v>
      </c>
      <c r="P18" s="12" t="s">
        <v>164</v>
      </c>
      <c r="Q18" s="5" t="s">
        <v>165</v>
      </c>
      <c r="R18" s="5" t="s">
        <v>15</v>
      </c>
    </row>
    <row r="19" spans="1:18" x14ac:dyDescent="0.3">
      <c r="A19" t="str">
        <f t="shared" si="0"/>
        <v>BMW</v>
      </c>
      <c r="B19" s="3" t="s">
        <v>166</v>
      </c>
      <c r="C19" s="12" t="s">
        <v>167</v>
      </c>
      <c r="D19" s="6" t="s">
        <v>156</v>
      </c>
      <c r="E19" s="12" t="s">
        <v>99</v>
      </c>
      <c r="F19" s="12" t="s">
        <v>168</v>
      </c>
      <c r="G19" s="12" t="s">
        <v>158</v>
      </c>
      <c r="H19" s="12" t="s">
        <v>158</v>
      </c>
      <c r="I19" s="12" t="s">
        <v>158</v>
      </c>
      <c r="J19" s="12" t="s">
        <v>159</v>
      </c>
      <c r="K19" s="6" t="s">
        <v>160</v>
      </c>
      <c r="L19" s="12" t="s">
        <v>161</v>
      </c>
      <c r="M19" s="12" t="s">
        <v>162</v>
      </c>
      <c r="N19" s="12" t="s">
        <v>39</v>
      </c>
      <c r="O19" s="6" t="s">
        <v>163</v>
      </c>
      <c r="P19" s="12" t="s">
        <v>164</v>
      </c>
      <c r="Q19" s="5" t="s">
        <v>165</v>
      </c>
      <c r="R19" s="5" t="s">
        <v>15</v>
      </c>
    </row>
    <row r="20" spans="1:18" x14ac:dyDescent="0.3">
      <c r="A20" t="str">
        <f t="shared" si="0"/>
        <v>Mercedes</v>
      </c>
      <c r="B20" s="3" t="s">
        <v>169</v>
      </c>
      <c r="C20" s="12" t="s">
        <v>170</v>
      </c>
      <c r="D20" s="6" t="s">
        <v>171</v>
      </c>
      <c r="E20" s="12" t="s">
        <v>172</v>
      </c>
      <c r="F20" s="12" t="s">
        <v>173</v>
      </c>
      <c r="G20" s="12" t="s">
        <v>158</v>
      </c>
      <c r="H20" s="12" t="s">
        <v>158</v>
      </c>
      <c r="I20" s="12" t="s">
        <v>158</v>
      </c>
      <c r="J20" s="12" t="s">
        <v>174</v>
      </c>
      <c r="K20" s="6" t="s">
        <v>175</v>
      </c>
      <c r="L20" s="12" t="s">
        <v>176</v>
      </c>
      <c r="M20" s="12" t="s">
        <v>147</v>
      </c>
      <c r="N20" s="12" t="s">
        <v>6</v>
      </c>
      <c r="O20" s="6" t="s">
        <v>163</v>
      </c>
      <c r="P20" s="12" t="s">
        <v>177</v>
      </c>
      <c r="Q20" s="5" t="s">
        <v>165</v>
      </c>
      <c r="R20" s="5" t="s">
        <v>15</v>
      </c>
    </row>
    <row r="21" spans="1:18" x14ac:dyDescent="0.3">
      <c r="A21" t="str">
        <f t="shared" si="0"/>
        <v>Mercedes</v>
      </c>
      <c r="B21" s="3" t="s">
        <v>178</v>
      </c>
      <c r="C21" s="12" t="s">
        <v>179</v>
      </c>
      <c r="D21" s="6" t="s">
        <v>171</v>
      </c>
      <c r="E21" s="12" t="s">
        <v>180</v>
      </c>
      <c r="F21" s="12" t="s">
        <v>181</v>
      </c>
      <c r="G21" s="12" t="s">
        <v>158</v>
      </c>
      <c r="H21" s="12" t="s">
        <v>158</v>
      </c>
      <c r="I21" s="12" t="s">
        <v>158</v>
      </c>
      <c r="J21" s="12" t="s">
        <v>174</v>
      </c>
      <c r="K21" s="6" t="s">
        <v>175</v>
      </c>
      <c r="L21" s="12" t="s">
        <v>176</v>
      </c>
      <c r="M21" s="12" t="s">
        <v>147</v>
      </c>
      <c r="N21" s="12" t="s">
        <v>6</v>
      </c>
      <c r="O21" s="6" t="s">
        <v>163</v>
      </c>
      <c r="P21" s="12" t="s">
        <v>177</v>
      </c>
      <c r="Q21" s="5" t="s">
        <v>165</v>
      </c>
      <c r="R21" s="5" t="s">
        <v>15</v>
      </c>
    </row>
    <row r="22" spans="1:18" x14ac:dyDescent="0.3">
      <c r="A22" t="str">
        <f t="shared" si="0"/>
        <v>Audi</v>
      </c>
      <c r="B22" s="3" t="s">
        <v>182</v>
      </c>
      <c r="C22" s="12" t="s">
        <v>183</v>
      </c>
      <c r="D22" s="6" t="s">
        <v>156</v>
      </c>
      <c r="E22" s="12" t="s">
        <v>184</v>
      </c>
      <c r="F22" s="12" t="s">
        <v>185</v>
      </c>
      <c r="G22" s="12" t="s">
        <v>158</v>
      </c>
      <c r="H22" s="12" t="s">
        <v>158</v>
      </c>
      <c r="I22" s="12" t="s">
        <v>158</v>
      </c>
      <c r="J22" s="12" t="s">
        <v>186</v>
      </c>
      <c r="K22" s="6" t="s">
        <v>187</v>
      </c>
      <c r="L22" s="12" t="s">
        <v>188</v>
      </c>
      <c r="M22" s="12" t="s">
        <v>37</v>
      </c>
      <c r="N22" s="12" t="s">
        <v>189</v>
      </c>
      <c r="O22" s="6" t="s">
        <v>163</v>
      </c>
      <c r="P22" s="12" t="s">
        <v>190</v>
      </c>
      <c r="Q22" s="5" t="s">
        <v>165</v>
      </c>
      <c r="R22" s="5" t="s">
        <v>15</v>
      </c>
    </row>
    <row r="23" spans="1:18" x14ac:dyDescent="0.3">
      <c r="A23" t="str">
        <f t="shared" si="0"/>
        <v>Audi</v>
      </c>
      <c r="B23" s="3" t="s">
        <v>191</v>
      </c>
      <c r="C23" s="12" t="s">
        <v>192</v>
      </c>
      <c r="D23" s="6" t="s">
        <v>156</v>
      </c>
      <c r="E23" s="12" t="s">
        <v>193</v>
      </c>
      <c r="F23" s="12" t="s">
        <v>194</v>
      </c>
      <c r="G23" s="12" t="s">
        <v>158</v>
      </c>
      <c r="H23" s="12" t="s">
        <v>158</v>
      </c>
      <c r="I23" s="12" t="s">
        <v>158</v>
      </c>
      <c r="J23" s="12" t="s">
        <v>186</v>
      </c>
      <c r="K23" s="6" t="s">
        <v>187</v>
      </c>
      <c r="L23" s="12" t="s">
        <v>188</v>
      </c>
      <c r="M23" s="12" t="s">
        <v>37</v>
      </c>
      <c r="N23" s="12" t="s">
        <v>189</v>
      </c>
      <c r="O23" s="6" t="s">
        <v>163</v>
      </c>
      <c r="P23" s="12" t="s">
        <v>190</v>
      </c>
      <c r="Q23" s="5" t="s">
        <v>165</v>
      </c>
      <c r="R23" s="5" t="s">
        <v>15</v>
      </c>
    </row>
    <row r="24" spans="1:18" x14ac:dyDescent="0.3">
      <c r="A24" t="str">
        <f t="shared" si="0"/>
        <v>GWM</v>
      </c>
      <c r="B24" s="8" t="s">
        <v>195</v>
      </c>
      <c r="C24" s="12" t="s">
        <v>196</v>
      </c>
      <c r="D24" s="6" t="s">
        <v>156</v>
      </c>
      <c r="E24" s="12" t="s">
        <v>197</v>
      </c>
      <c r="F24" s="12" t="s">
        <v>81</v>
      </c>
      <c r="G24" s="12" t="s">
        <v>198</v>
      </c>
      <c r="H24" s="12" t="s">
        <v>72</v>
      </c>
      <c r="I24" s="12" t="s">
        <v>72</v>
      </c>
      <c r="J24" s="12" t="s">
        <v>199</v>
      </c>
      <c r="K24" s="6" t="s">
        <v>115</v>
      </c>
      <c r="L24" s="12" t="s">
        <v>72</v>
      </c>
      <c r="M24" s="12" t="s">
        <v>72</v>
      </c>
      <c r="N24" s="12" t="s">
        <v>95</v>
      </c>
      <c r="O24" s="6" t="s">
        <v>76</v>
      </c>
      <c r="P24" s="12" t="s">
        <v>96</v>
      </c>
      <c r="Q24" s="5" t="s">
        <v>165</v>
      </c>
      <c r="R24" s="5" t="s">
        <v>64</v>
      </c>
    </row>
    <row r="25" spans="1:18" ht="28.8" x14ac:dyDescent="0.3">
      <c r="A25" t="str">
        <f t="shared" si="0"/>
        <v>Changan</v>
      </c>
      <c r="B25" s="8" t="s">
        <v>200</v>
      </c>
      <c r="C25" s="12" t="s">
        <v>201</v>
      </c>
      <c r="D25" s="6" t="s">
        <v>2</v>
      </c>
      <c r="E25" s="12" t="s">
        <v>202</v>
      </c>
      <c r="F25" s="12" t="s">
        <v>203</v>
      </c>
      <c r="G25" s="12" t="s">
        <v>204</v>
      </c>
      <c r="H25" s="12" t="s">
        <v>205</v>
      </c>
      <c r="I25" s="12" t="s">
        <v>92</v>
      </c>
      <c r="J25" s="12" t="s">
        <v>206</v>
      </c>
      <c r="K25" s="6" t="s">
        <v>207</v>
      </c>
      <c r="L25" s="12" t="s">
        <v>72</v>
      </c>
      <c r="M25" s="12" t="s">
        <v>72</v>
      </c>
      <c r="N25" s="12" t="s">
        <v>95</v>
      </c>
      <c r="O25" s="6" t="s">
        <v>76</v>
      </c>
      <c r="P25" s="12" t="s">
        <v>77</v>
      </c>
      <c r="Q25" s="5" t="s">
        <v>165</v>
      </c>
      <c r="R25" s="5" t="s">
        <v>64</v>
      </c>
    </row>
    <row r="26" spans="1:18" ht="28.8" x14ac:dyDescent="0.3">
      <c r="A26" t="str">
        <f t="shared" si="0"/>
        <v>Leapmotor</v>
      </c>
      <c r="B26" s="8" t="s">
        <v>208</v>
      </c>
      <c r="C26" s="12" t="s">
        <v>209</v>
      </c>
      <c r="D26" s="6" t="s">
        <v>210</v>
      </c>
      <c r="E26" s="12" t="s">
        <v>45</v>
      </c>
      <c r="F26" s="12" t="s">
        <v>100</v>
      </c>
      <c r="G26" s="12" t="s">
        <v>107</v>
      </c>
      <c r="H26" s="12" t="s">
        <v>108</v>
      </c>
      <c r="I26" s="12" t="s">
        <v>92</v>
      </c>
      <c r="J26" s="12" t="s">
        <v>211</v>
      </c>
      <c r="K26" s="6" t="s">
        <v>110</v>
      </c>
      <c r="L26" s="12" t="s">
        <v>72</v>
      </c>
      <c r="M26" s="12" t="s">
        <v>72</v>
      </c>
      <c r="N26" s="12" t="s">
        <v>95</v>
      </c>
      <c r="O26" s="6" t="s">
        <v>76</v>
      </c>
      <c r="P26" s="12" t="s">
        <v>96</v>
      </c>
      <c r="Q26" s="5" t="s">
        <v>165</v>
      </c>
      <c r="R26" s="5" t="s">
        <v>64</v>
      </c>
    </row>
    <row r="27" spans="1:18" x14ac:dyDescent="0.3">
      <c r="A27" t="str">
        <f t="shared" si="0"/>
        <v>GAC</v>
      </c>
      <c r="B27" s="8" t="s">
        <v>212</v>
      </c>
      <c r="C27" s="12" t="s">
        <v>213</v>
      </c>
      <c r="D27" s="6" t="s">
        <v>2</v>
      </c>
      <c r="E27" s="12" t="s">
        <v>214</v>
      </c>
      <c r="F27" s="12" t="s">
        <v>81</v>
      </c>
      <c r="G27" s="12" t="s">
        <v>215</v>
      </c>
      <c r="H27" s="12" t="s">
        <v>216</v>
      </c>
      <c r="I27" s="12" t="s">
        <v>92</v>
      </c>
      <c r="J27" s="12" t="s">
        <v>199</v>
      </c>
      <c r="K27" s="6" t="s">
        <v>104</v>
      </c>
      <c r="L27" s="12" t="s">
        <v>72</v>
      </c>
      <c r="M27" s="12" t="s">
        <v>72</v>
      </c>
      <c r="N27" s="12" t="s">
        <v>95</v>
      </c>
      <c r="O27" s="6" t="s">
        <v>76</v>
      </c>
      <c r="P27" s="12" t="s">
        <v>96</v>
      </c>
      <c r="Q27" s="5" t="s">
        <v>165</v>
      </c>
      <c r="R27" s="5" t="s">
        <v>64</v>
      </c>
    </row>
    <row r="28" spans="1:18" x14ac:dyDescent="0.3">
      <c r="A28" t="str">
        <f t="shared" si="0"/>
        <v>Jeep</v>
      </c>
      <c r="B28" s="8" t="s">
        <v>217</v>
      </c>
      <c r="C28" s="12" t="s">
        <v>218</v>
      </c>
      <c r="D28" s="6" t="s">
        <v>219</v>
      </c>
      <c r="E28" s="12" t="s">
        <v>220</v>
      </c>
      <c r="F28" s="12" t="s">
        <v>221</v>
      </c>
      <c r="G28" s="12" t="s">
        <v>72</v>
      </c>
      <c r="H28" s="12"/>
      <c r="I28" s="12"/>
      <c r="J28" s="12" t="s">
        <v>222</v>
      </c>
      <c r="K28" s="6" t="s">
        <v>223</v>
      </c>
      <c r="L28" s="12" t="s">
        <v>224</v>
      </c>
      <c r="M28" s="12" t="s">
        <v>72</v>
      </c>
      <c r="N28" s="12" t="s">
        <v>225</v>
      </c>
      <c r="O28" s="6" t="s">
        <v>226</v>
      </c>
      <c r="P28" s="12" t="s">
        <v>227</v>
      </c>
      <c r="Q28" s="5" t="s">
        <v>165</v>
      </c>
      <c r="R28" s="5" t="s">
        <v>64</v>
      </c>
    </row>
    <row r="29" spans="1:18" x14ac:dyDescent="0.3">
      <c r="A29" t="str">
        <f t="shared" si="0"/>
        <v>GWM</v>
      </c>
      <c r="B29" s="8" t="s">
        <v>228</v>
      </c>
      <c r="C29" s="12" t="s">
        <v>229</v>
      </c>
      <c r="D29" s="6" t="s">
        <v>230</v>
      </c>
      <c r="E29" s="12">
        <v>393</v>
      </c>
      <c r="F29" s="12" t="s">
        <v>231</v>
      </c>
      <c r="G29" s="12" t="s">
        <v>232</v>
      </c>
      <c r="H29" s="12" t="s">
        <v>233</v>
      </c>
      <c r="I29" s="12" t="s">
        <v>234</v>
      </c>
      <c r="J29" s="12">
        <v>515</v>
      </c>
      <c r="K29" s="6" t="s">
        <v>235</v>
      </c>
      <c r="L29" s="12" t="s">
        <v>236</v>
      </c>
      <c r="M29" s="12" t="s">
        <v>236</v>
      </c>
      <c r="N29" s="12" t="s">
        <v>237</v>
      </c>
      <c r="O29" s="6" t="s">
        <v>238</v>
      </c>
      <c r="P29" s="12" t="s">
        <v>239</v>
      </c>
      <c r="Q29" s="5" t="s">
        <v>165</v>
      </c>
      <c r="R29" s="5" t="s">
        <v>64</v>
      </c>
    </row>
    <row r="30" spans="1:18" x14ac:dyDescent="0.3">
      <c r="A30" t="str">
        <f t="shared" si="0"/>
        <v>BYD</v>
      </c>
      <c r="B30" s="8" t="s">
        <v>240</v>
      </c>
      <c r="C30" s="12" t="s">
        <v>241</v>
      </c>
      <c r="D30" s="6" t="s">
        <v>242</v>
      </c>
      <c r="E30" s="12" t="s">
        <v>243</v>
      </c>
      <c r="F30" s="12" t="s">
        <v>69</v>
      </c>
      <c r="G30" s="12" t="s">
        <v>244</v>
      </c>
      <c r="H30" s="12" t="s">
        <v>245</v>
      </c>
      <c r="I30" s="12" t="s">
        <v>246</v>
      </c>
      <c r="J30" s="12">
        <v>574</v>
      </c>
      <c r="K30" s="6" t="s">
        <v>247</v>
      </c>
      <c r="L30" s="12" t="s">
        <v>248</v>
      </c>
      <c r="M30" s="12" t="s">
        <v>249</v>
      </c>
      <c r="N30" s="12" t="s">
        <v>250</v>
      </c>
      <c r="O30" s="6" t="s">
        <v>251</v>
      </c>
      <c r="P30" s="12" t="s">
        <v>252</v>
      </c>
      <c r="Q30" s="5" t="s">
        <v>165</v>
      </c>
      <c r="R30" s="5" t="s">
        <v>64</v>
      </c>
    </row>
    <row r="31" spans="1:18" x14ac:dyDescent="0.3">
      <c r="A31" t="str">
        <f t="shared" si="0"/>
        <v>Honda</v>
      </c>
      <c r="B31" s="8" t="s">
        <v>253</v>
      </c>
      <c r="C31" s="12" t="s">
        <v>254</v>
      </c>
      <c r="D31" s="6" t="s">
        <v>255</v>
      </c>
      <c r="E31" s="12" t="s">
        <v>52</v>
      </c>
      <c r="F31" s="12" t="s">
        <v>256</v>
      </c>
      <c r="G31" s="12" t="s">
        <v>257</v>
      </c>
      <c r="H31" s="12" t="s">
        <v>258</v>
      </c>
      <c r="I31" s="12" t="s">
        <v>259</v>
      </c>
      <c r="J31" s="12">
        <v>581</v>
      </c>
      <c r="K31" s="6" t="s">
        <v>260</v>
      </c>
      <c r="L31" s="12" t="s">
        <v>261</v>
      </c>
      <c r="M31" s="12" t="s">
        <v>262</v>
      </c>
      <c r="N31" s="12" t="s">
        <v>263</v>
      </c>
      <c r="O31" s="6" t="s">
        <v>130</v>
      </c>
      <c r="P31" s="12" t="s">
        <v>264</v>
      </c>
      <c r="Q31" s="5" t="s">
        <v>165</v>
      </c>
      <c r="R31" s="5" t="s">
        <v>64</v>
      </c>
    </row>
    <row r="32" spans="1:18" x14ac:dyDescent="0.3">
      <c r="A32" t="str">
        <f t="shared" si="0"/>
        <v>Toyota</v>
      </c>
      <c r="B32" s="8" t="s">
        <v>265</v>
      </c>
      <c r="C32" s="12" t="s">
        <v>266</v>
      </c>
      <c r="D32" s="6" t="s">
        <v>267</v>
      </c>
      <c r="E32" s="12">
        <v>222</v>
      </c>
      <c r="F32" s="12" t="s">
        <v>268</v>
      </c>
      <c r="G32" s="12" t="s">
        <v>257</v>
      </c>
      <c r="H32" s="12" t="s">
        <v>269</v>
      </c>
      <c r="I32" s="12" t="s">
        <v>259</v>
      </c>
      <c r="J32" s="12">
        <v>580</v>
      </c>
      <c r="K32" s="6" t="s">
        <v>270</v>
      </c>
      <c r="L32" s="12" t="s">
        <v>271</v>
      </c>
      <c r="M32" s="12" t="s">
        <v>249</v>
      </c>
      <c r="N32" s="12" t="s">
        <v>272</v>
      </c>
      <c r="O32" s="6" t="s">
        <v>273</v>
      </c>
      <c r="P32" s="12" t="s">
        <v>274</v>
      </c>
      <c r="Q32" s="5" t="s">
        <v>165</v>
      </c>
      <c r="R32" s="5" t="s">
        <v>64</v>
      </c>
    </row>
    <row r="33" spans="1:18" x14ac:dyDescent="0.3">
      <c r="A33" t="str">
        <f t="shared" si="0"/>
        <v>Volvo</v>
      </c>
      <c r="B33" s="3" t="s">
        <v>275</v>
      </c>
      <c r="C33" s="11" t="s">
        <v>276</v>
      </c>
      <c r="D33" s="4" t="s">
        <v>67</v>
      </c>
      <c r="E33" s="11" t="s">
        <v>277</v>
      </c>
      <c r="F33" s="11" t="s">
        <v>278</v>
      </c>
      <c r="G33" s="11" t="s">
        <v>279</v>
      </c>
      <c r="H33" s="11" t="s">
        <v>280</v>
      </c>
      <c r="I33" s="11" t="s">
        <v>158</v>
      </c>
      <c r="J33" s="11" t="s">
        <v>281</v>
      </c>
      <c r="K33" s="4" t="s">
        <v>9</v>
      </c>
      <c r="L33" s="11" t="s">
        <v>282</v>
      </c>
      <c r="M33" s="11" t="s">
        <v>283</v>
      </c>
      <c r="N33" s="11" t="s">
        <v>12</v>
      </c>
      <c r="O33" s="4" t="s">
        <v>13</v>
      </c>
      <c r="P33" s="11" t="s">
        <v>14</v>
      </c>
      <c r="Q33" s="5" t="s">
        <v>292</v>
      </c>
      <c r="R33" s="5" t="s">
        <v>15</v>
      </c>
    </row>
    <row r="34" spans="1:18" x14ac:dyDescent="0.3">
      <c r="A34" t="str">
        <f t="shared" si="0"/>
        <v>Volvo</v>
      </c>
      <c r="B34" s="3" t="s">
        <v>284</v>
      </c>
      <c r="C34" s="11" t="s">
        <v>285</v>
      </c>
      <c r="D34" s="4" t="s">
        <v>67</v>
      </c>
      <c r="E34" s="11" t="s">
        <v>277</v>
      </c>
      <c r="F34" s="11" t="s">
        <v>278</v>
      </c>
      <c r="G34" s="11" t="s">
        <v>279</v>
      </c>
      <c r="H34" s="11" t="s">
        <v>280</v>
      </c>
      <c r="I34" s="11" t="s">
        <v>158</v>
      </c>
      <c r="J34" s="11" t="s">
        <v>281</v>
      </c>
      <c r="K34" s="4" t="s">
        <v>9</v>
      </c>
      <c r="L34" s="11" t="s">
        <v>282</v>
      </c>
      <c r="M34" s="11" t="s">
        <v>283</v>
      </c>
      <c r="N34" s="11" t="s">
        <v>12</v>
      </c>
      <c r="O34" s="4" t="s">
        <v>13</v>
      </c>
      <c r="P34" s="11" t="s">
        <v>14</v>
      </c>
      <c r="Q34" s="5" t="s">
        <v>292</v>
      </c>
      <c r="R34" s="5" t="s">
        <v>15</v>
      </c>
    </row>
    <row r="35" spans="1:18" x14ac:dyDescent="0.3">
      <c r="A35" t="str">
        <f t="shared" si="0"/>
        <v>BMW</v>
      </c>
      <c r="B35" s="3" t="s">
        <v>286</v>
      </c>
      <c r="C35" s="12" t="s">
        <v>287</v>
      </c>
      <c r="D35" s="6" t="s">
        <v>156</v>
      </c>
      <c r="E35" s="12" t="s">
        <v>288</v>
      </c>
      <c r="F35" s="12" t="s">
        <v>289</v>
      </c>
      <c r="G35" s="12" t="s">
        <v>158</v>
      </c>
      <c r="H35" s="12" t="s">
        <v>158</v>
      </c>
      <c r="I35" s="12" t="s">
        <v>158</v>
      </c>
      <c r="J35" s="12" t="s">
        <v>290</v>
      </c>
      <c r="K35" s="6" t="s">
        <v>160</v>
      </c>
      <c r="L35" s="12" t="s">
        <v>291</v>
      </c>
      <c r="M35" s="12" t="s">
        <v>11</v>
      </c>
      <c r="N35" s="12" t="s">
        <v>39</v>
      </c>
      <c r="O35" s="6" t="s">
        <v>163</v>
      </c>
      <c r="P35" s="12" t="s">
        <v>164</v>
      </c>
      <c r="Q35" s="5" t="s">
        <v>292</v>
      </c>
      <c r="R35" s="5" t="s">
        <v>15</v>
      </c>
    </row>
    <row r="36" spans="1:18" x14ac:dyDescent="0.3">
      <c r="A36" t="str">
        <f t="shared" si="0"/>
        <v>BMW</v>
      </c>
      <c r="B36" s="3" t="s">
        <v>293</v>
      </c>
      <c r="C36" s="12" t="s">
        <v>294</v>
      </c>
      <c r="D36" s="6" t="s">
        <v>156</v>
      </c>
      <c r="E36" s="12" t="s">
        <v>295</v>
      </c>
      <c r="F36" s="12" t="s">
        <v>296</v>
      </c>
      <c r="G36" s="12" t="s">
        <v>158</v>
      </c>
      <c r="H36" s="12" t="s">
        <v>158</v>
      </c>
      <c r="I36" s="12" t="s">
        <v>158</v>
      </c>
      <c r="J36" s="12" t="s">
        <v>290</v>
      </c>
      <c r="K36" s="6" t="s">
        <v>160</v>
      </c>
      <c r="L36" s="12" t="s">
        <v>291</v>
      </c>
      <c r="M36" s="12" t="s">
        <v>11</v>
      </c>
      <c r="N36" s="12" t="s">
        <v>39</v>
      </c>
      <c r="O36" s="6" t="s">
        <v>163</v>
      </c>
      <c r="P36" s="12" t="s">
        <v>164</v>
      </c>
      <c r="Q36" s="5" t="s">
        <v>292</v>
      </c>
      <c r="R36" s="5" t="s">
        <v>15</v>
      </c>
    </row>
    <row r="37" spans="1:18" x14ac:dyDescent="0.3">
      <c r="A37" t="str">
        <f t="shared" si="0"/>
        <v>Mercedes</v>
      </c>
      <c r="B37" s="3" t="s">
        <v>297</v>
      </c>
      <c r="C37" s="12" t="s">
        <v>298</v>
      </c>
      <c r="D37" s="6" t="s">
        <v>156</v>
      </c>
      <c r="E37" s="12" t="s">
        <v>288</v>
      </c>
      <c r="F37" s="12" t="s">
        <v>299</v>
      </c>
      <c r="G37" s="12" t="s">
        <v>158</v>
      </c>
      <c r="H37" s="12" t="s">
        <v>158</v>
      </c>
      <c r="I37" s="12" t="s">
        <v>158</v>
      </c>
      <c r="J37" s="12" t="s">
        <v>300</v>
      </c>
      <c r="K37" s="6" t="s">
        <v>175</v>
      </c>
      <c r="L37" s="12" t="s">
        <v>176</v>
      </c>
      <c r="M37" s="12" t="s">
        <v>147</v>
      </c>
      <c r="N37" s="12" t="s">
        <v>6</v>
      </c>
      <c r="O37" s="6" t="s">
        <v>163</v>
      </c>
      <c r="P37" s="12" t="s">
        <v>177</v>
      </c>
      <c r="Q37" s="5" t="s">
        <v>292</v>
      </c>
      <c r="R37" s="5" t="s">
        <v>15</v>
      </c>
    </row>
    <row r="38" spans="1:18" x14ac:dyDescent="0.3">
      <c r="A38" t="str">
        <f t="shared" si="0"/>
        <v>Mercedes</v>
      </c>
      <c r="B38" s="3" t="s">
        <v>301</v>
      </c>
      <c r="C38" s="12" t="s">
        <v>302</v>
      </c>
      <c r="D38" s="6" t="s">
        <v>156</v>
      </c>
      <c r="E38" s="12" t="s">
        <v>288</v>
      </c>
      <c r="F38" s="12" t="s">
        <v>299</v>
      </c>
      <c r="G38" s="12" t="s">
        <v>158</v>
      </c>
      <c r="H38" s="12" t="s">
        <v>158</v>
      </c>
      <c r="I38" s="12" t="s">
        <v>158</v>
      </c>
      <c r="J38" s="12" t="s">
        <v>300</v>
      </c>
      <c r="K38" s="6" t="s">
        <v>175</v>
      </c>
      <c r="L38" s="12" t="s">
        <v>176</v>
      </c>
      <c r="M38" s="12" t="s">
        <v>147</v>
      </c>
      <c r="N38" s="12" t="s">
        <v>6</v>
      </c>
      <c r="O38" s="6" t="s">
        <v>163</v>
      </c>
      <c r="P38" s="12" t="s">
        <v>177</v>
      </c>
      <c r="Q38" s="5" t="s">
        <v>292</v>
      </c>
      <c r="R38" s="5" t="s">
        <v>15</v>
      </c>
    </row>
    <row r="39" spans="1:18" x14ac:dyDescent="0.3">
      <c r="A39" t="str">
        <f t="shared" si="0"/>
        <v>GWM</v>
      </c>
      <c r="B39" s="8" t="s">
        <v>303</v>
      </c>
      <c r="C39" s="12" t="s">
        <v>304</v>
      </c>
      <c r="D39" s="6" t="s">
        <v>67</v>
      </c>
      <c r="E39" s="12" t="s">
        <v>305</v>
      </c>
      <c r="F39" s="12" t="s">
        <v>306</v>
      </c>
      <c r="G39" s="12" t="s">
        <v>82</v>
      </c>
      <c r="H39" s="12" t="s">
        <v>307</v>
      </c>
      <c r="I39" s="12" t="s">
        <v>72</v>
      </c>
      <c r="J39" s="12" t="s">
        <v>206</v>
      </c>
      <c r="K39" s="6" t="s">
        <v>115</v>
      </c>
      <c r="L39" s="12" t="s">
        <v>72</v>
      </c>
      <c r="M39" s="12" t="s">
        <v>72</v>
      </c>
      <c r="N39" s="12" t="s">
        <v>95</v>
      </c>
      <c r="O39" s="6" t="s">
        <v>76</v>
      </c>
      <c r="P39" s="12" t="s">
        <v>77</v>
      </c>
      <c r="Q39" s="5" t="s">
        <v>292</v>
      </c>
      <c r="R39" s="5" t="s">
        <v>64</v>
      </c>
    </row>
    <row r="40" spans="1:18" x14ac:dyDescent="0.3">
      <c r="A40" t="str">
        <f t="shared" si="0"/>
        <v>BYD</v>
      </c>
      <c r="B40" s="8" t="s">
        <v>308</v>
      </c>
      <c r="C40" s="12" t="s">
        <v>309</v>
      </c>
      <c r="D40" s="6" t="s">
        <v>2</v>
      </c>
      <c r="E40" s="12" t="s">
        <v>197</v>
      </c>
      <c r="F40" s="12" t="s">
        <v>310</v>
      </c>
      <c r="G40" s="12" t="s">
        <v>198</v>
      </c>
      <c r="H40" s="12" t="s">
        <v>311</v>
      </c>
      <c r="I40" s="12" t="s">
        <v>92</v>
      </c>
      <c r="J40" s="12" t="s">
        <v>312</v>
      </c>
      <c r="K40" s="6" t="s">
        <v>74</v>
      </c>
      <c r="L40" s="12" t="s">
        <v>72</v>
      </c>
      <c r="M40" s="12" t="s">
        <v>72</v>
      </c>
      <c r="N40" s="12" t="s">
        <v>75</v>
      </c>
      <c r="O40" s="6" t="s">
        <v>76</v>
      </c>
      <c r="P40" s="12" t="s">
        <v>77</v>
      </c>
      <c r="Q40" s="5" t="s">
        <v>292</v>
      </c>
      <c r="R40" s="5" t="s">
        <v>64</v>
      </c>
    </row>
    <row r="41" spans="1:18" x14ac:dyDescent="0.3">
      <c r="A41" t="str">
        <f t="shared" si="0"/>
        <v>Denza</v>
      </c>
      <c r="B41" s="8" t="s">
        <v>313</v>
      </c>
      <c r="C41" s="12" t="s">
        <v>314</v>
      </c>
      <c r="D41" s="6" t="s">
        <v>315</v>
      </c>
      <c r="E41" s="12" t="s">
        <v>197</v>
      </c>
      <c r="F41" s="12" t="s">
        <v>310</v>
      </c>
      <c r="G41" s="12" t="s">
        <v>198</v>
      </c>
      <c r="H41" s="12" t="s">
        <v>316</v>
      </c>
      <c r="I41" s="12" t="s">
        <v>92</v>
      </c>
      <c r="J41" s="12" t="s">
        <v>317</v>
      </c>
      <c r="K41" s="6" t="s">
        <v>74</v>
      </c>
      <c r="L41" s="12" t="s">
        <v>72</v>
      </c>
      <c r="M41" s="12" t="s">
        <v>72</v>
      </c>
      <c r="N41" s="12" t="s">
        <v>95</v>
      </c>
      <c r="O41" s="6" t="s">
        <v>318</v>
      </c>
      <c r="P41" s="12" t="s">
        <v>77</v>
      </c>
      <c r="Q41" s="5" t="s">
        <v>292</v>
      </c>
      <c r="R41" s="5" t="s">
        <v>64</v>
      </c>
    </row>
    <row r="42" spans="1:18" x14ac:dyDescent="0.3">
      <c r="A42" t="str">
        <f t="shared" si="0"/>
        <v>Toyota</v>
      </c>
      <c r="B42" s="8" t="s">
        <v>319</v>
      </c>
      <c r="C42" s="12" t="s">
        <v>320</v>
      </c>
      <c r="D42" s="6" t="s">
        <v>321</v>
      </c>
      <c r="E42" s="12">
        <v>204</v>
      </c>
      <c r="F42" s="12" t="s">
        <v>322</v>
      </c>
      <c r="G42" s="12"/>
      <c r="H42" s="12"/>
      <c r="I42" s="12"/>
      <c r="J42" s="12" t="s">
        <v>323</v>
      </c>
      <c r="K42" s="6" t="s">
        <v>324</v>
      </c>
      <c r="L42" s="12" t="s">
        <v>325</v>
      </c>
      <c r="M42" s="12" t="s">
        <v>326</v>
      </c>
      <c r="N42" s="12" t="s">
        <v>272</v>
      </c>
      <c r="O42" s="6" t="s">
        <v>327</v>
      </c>
      <c r="P42" s="12" t="s">
        <v>328</v>
      </c>
      <c r="Q42" s="5" t="s">
        <v>292</v>
      </c>
      <c r="R42" s="5" t="s">
        <v>64</v>
      </c>
    </row>
    <row r="43" spans="1:18" x14ac:dyDescent="0.3">
      <c r="A43" t="str">
        <f t="shared" si="0"/>
        <v>Mitsubishi</v>
      </c>
      <c r="B43" s="8" t="s">
        <v>329</v>
      </c>
      <c r="C43" s="12" t="s">
        <v>330</v>
      </c>
      <c r="D43" s="6" t="s">
        <v>331</v>
      </c>
      <c r="E43" s="12">
        <v>190</v>
      </c>
      <c r="F43" s="12" t="s">
        <v>332</v>
      </c>
      <c r="G43" s="12"/>
      <c r="H43" s="12"/>
      <c r="I43" s="12"/>
      <c r="J43" s="12" t="s">
        <v>323</v>
      </c>
      <c r="K43" s="6" t="s">
        <v>333</v>
      </c>
      <c r="L43" s="12"/>
      <c r="M43" s="12"/>
      <c r="N43" s="12" t="s">
        <v>334</v>
      </c>
      <c r="O43" s="6" t="s">
        <v>335</v>
      </c>
      <c r="P43" s="12" t="s">
        <v>336</v>
      </c>
      <c r="Q43" s="5" t="s">
        <v>292</v>
      </c>
      <c r="R43" s="5" t="s">
        <v>64</v>
      </c>
    </row>
    <row r="44" spans="1:18" x14ac:dyDescent="0.3">
      <c r="A44" t="str">
        <f t="shared" si="0"/>
        <v>BYD</v>
      </c>
      <c r="B44" s="8" t="s">
        <v>337</v>
      </c>
      <c r="C44" s="12" t="s">
        <v>338</v>
      </c>
      <c r="D44" s="6" t="s">
        <v>339</v>
      </c>
      <c r="E44" s="12">
        <v>517</v>
      </c>
      <c r="F44" s="12" t="s">
        <v>340</v>
      </c>
      <c r="G44" s="12">
        <v>430</v>
      </c>
      <c r="H44" s="12"/>
      <c r="I44" s="12" t="s">
        <v>341</v>
      </c>
      <c r="J44" s="12" t="s">
        <v>342</v>
      </c>
      <c r="K44" s="6" t="s">
        <v>343</v>
      </c>
      <c r="L44" s="12" t="s">
        <v>116</v>
      </c>
      <c r="M44" s="12" t="s">
        <v>116</v>
      </c>
      <c r="N44" s="12" t="s">
        <v>250</v>
      </c>
      <c r="O44" s="6" t="s">
        <v>344</v>
      </c>
      <c r="P44" s="12" t="s">
        <v>345</v>
      </c>
      <c r="Q44" s="5" t="s">
        <v>292</v>
      </c>
      <c r="R44" s="5" t="s">
        <v>64</v>
      </c>
    </row>
    <row r="45" spans="1:18" x14ac:dyDescent="0.3">
      <c r="A45" t="str">
        <f t="shared" si="0"/>
        <v>Volvo</v>
      </c>
      <c r="B45" s="3" t="s">
        <v>346</v>
      </c>
      <c r="C45" s="11" t="s">
        <v>347</v>
      </c>
      <c r="D45" s="4" t="s">
        <v>67</v>
      </c>
      <c r="E45" s="11" t="s">
        <v>277</v>
      </c>
      <c r="F45" s="11" t="s">
        <v>278</v>
      </c>
      <c r="G45" s="11" t="s">
        <v>348</v>
      </c>
      <c r="H45" s="11" t="s">
        <v>349</v>
      </c>
      <c r="I45" s="11" t="s">
        <v>158</v>
      </c>
      <c r="J45" s="11" t="s">
        <v>281</v>
      </c>
      <c r="K45" s="4" t="s">
        <v>9</v>
      </c>
      <c r="L45" s="11" t="s">
        <v>350</v>
      </c>
      <c r="M45" s="11" t="s">
        <v>351</v>
      </c>
      <c r="N45" s="11" t="s">
        <v>12</v>
      </c>
      <c r="O45" s="4" t="s">
        <v>13</v>
      </c>
      <c r="P45" s="11" t="s">
        <v>14</v>
      </c>
      <c r="Q45" s="5" t="s">
        <v>361</v>
      </c>
      <c r="R45" s="5" t="s">
        <v>15</v>
      </c>
    </row>
    <row r="46" spans="1:18" x14ac:dyDescent="0.3">
      <c r="A46" t="str">
        <f t="shared" si="0"/>
        <v>Volvo</v>
      </c>
      <c r="B46" s="3" t="s">
        <v>352</v>
      </c>
      <c r="C46" s="11" t="s">
        <v>353</v>
      </c>
      <c r="D46" s="4" t="s">
        <v>67</v>
      </c>
      <c r="E46" s="11" t="s">
        <v>277</v>
      </c>
      <c r="F46" s="11" t="s">
        <v>278</v>
      </c>
      <c r="G46" s="11" t="s">
        <v>348</v>
      </c>
      <c r="H46" s="11" t="s">
        <v>349</v>
      </c>
      <c r="I46" s="11" t="s">
        <v>158</v>
      </c>
      <c r="J46" s="11" t="s">
        <v>281</v>
      </c>
      <c r="K46" s="4" t="s">
        <v>9</v>
      </c>
      <c r="L46" s="11" t="s">
        <v>350</v>
      </c>
      <c r="M46" s="11" t="s">
        <v>351</v>
      </c>
      <c r="N46" s="11" t="s">
        <v>12</v>
      </c>
      <c r="O46" s="4" t="s">
        <v>13</v>
      </c>
      <c r="P46" s="11" t="s">
        <v>14</v>
      </c>
      <c r="Q46" s="5" t="s">
        <v>361</v>
      </c>
      <c r="R46" s="5" t="s">
        <v>15</v>
      </c>
    </row>
    <row r="47" spans="1:18" x14ac:dyDescent="0.3">
      <c r="A47" t="str">
        <f t="shared" si="0"/>
        <v>BMW</v>
      </c>
      <c r="B47" s="3" t="s">
        <v>354</v>
      </c>
      <c r="C47" s="12" t="s">
        <v>355</v>
      </c>
      <c r="D47" s="6" t="s">
        <v>156</v>
      </c>
      <c r="E47" s="12" t="s">
        <v>356</v>
      </c>
      <c r="F47" s="12" t="s">
        <v>357</v>
      </c>
      <c r="G47" s="12" t="s">
        <v>158</v>
      </c>
      <c r="H47" s="12" t="s">
        <v>158</v>
      </c>
      <c r="I47" s="12" t="s">
        <v>158</v>
      </c>
      <c r="J47" s="12" t="s">
        <v>358</v>
      </c>
      <c r="K47" s="6" t="s">
        <v>160</v>
      </c>
      <c r="L47" s="12" t="s">
        <v>359</v>
      </c>
      <c r="M47" s="12" t="s">
        <v>360</v>
      </c>
      <c r="N47" s="12" t="s">
        <v>39</v>
      </c>
      <c r="O47" s="6" t="s">
        <v>163</v>
      </c>
      <c r="P47" s="12" t="s">
        <v>164</v>
      </c>
      <c r="Q47" s="5" t="s">
        <v>361</v>
      </c>
      <c r="R47" s="5" t="s">
        <v>15</v>
      </c>
    </row>
    <row r="48" spans="1:18" x14ac:dyDescent="0.3">
      <c r="A48" t="str">
        <f t="shared" si="0"/>
        <v>BMW</v>
      </c>
      <c r="B48" s="3" t="s">
        <v>362</v>
      </c>
      <c r="C48" s="12" t="s">
        <v>363</v>
      </c>
      <c r="D48" s="6" t="s">
        <v>67</v>
      </c>
      <c r="E48" s="12" t="s">
        <v>364</v>
      </c>
      <c r="F48" s="12" t="s">
        <v>18</v>
      </c>
      <c r="G48" s="12" t="s">
        <v>365</v>
      </c>
      <c r="H48" s="12" t="s">
        <v>366</v>
      </c>
      <c r="I48" s="12" t="s">
        <v>158</v>
      </c>
      <c r="J48" s="12" t="s">
        <v>358</v>
      </c>
      <c r="K48" s="6" t="s">
        <v>160</v>
      </c>
      <c r="L48" s="12" t="s">
        <v>359</v>
      </c>
      <c r="M48" s="12" t="s">
        <v>360</v>
      </c>
      <c r="N48" s="12" t="s">
        <v>39</v>
      </c>
      <c r="O48" s="6" t="s">
        <v>163</v>
      </c>
      <c r="P48" s="12" t="s">
        <v>164</v>
      </c>
      <c r="Q48" s="5" t="s">
        <v>361</v>
      </c>
      <c r="R48" s="5" t="s">
        <v>15</v>
      </c>
    </row>
    <row r="49" spans="1:18" x14ac:dyDescent="0.3">
      <c r="A49" t="str">
        <f t="shared" si="0"/>
        <v>Mercedes</v>
      </c>
      <c r="B49" s="3" t="s">
        <v>367</v>
      </c>
      <c r="C49" s="12" t="s">
        <v>355</v>
      </c>
      <c r="D49" s="6" t="s">
        <v>67</v>
      </c>
      <c r="E49" s="12" t="s">
        <v>101</v>
      </c>
      <c r="F49" s="12" t="s">
        <v>296</v>
      </c>
      <c r="G49" s="12" t="s">
        <v>368</v>
      </c>
      <c r="H49" s="12" t="s">
        <v>369</v>
      </c>
      <c r="I49" s="12" t="s">
        <v>158</v>
      </c>
      <c r="J49" s="12" t="s">
        <v>358</v>
      </c>
      <c r="K49" s="6" t="s">
        <v>175</v>
      </c>
      <c r="L49" s="12" t="s">
        <v>176</v>
      </c>
      <c r="M49" s="12" t="s">
        <v>147</v>
      </c>
      <c r="N49" s="12" t="s">
        <v>6</v>
      </c>
      <c r="O49" s="6" t="s">
        <v>163</v>
      </c>
      <c r="P49" s="12" t="s">
        <v>177</v>
      </c>
      <c r="Q49" s="5" t="s">
        <v>361</v>
      </c>
      <c r="R49" s="5" t="s">
        <v>15</v>
      </c>
    </row>
    <row r="50" spans="1:18" x14ac:dyDescent="0.3">
      <c r="A50" t="str">
        <f t="shared" si="0"/>
        <v>Mercedes</v>
      </c>
      <c r="B50" s="3" t="s">
        <v>370</v>
      </c>
      <c r="C50" s="12" t="s">
        <v>371</v>
      </c>
      <c r="D50" s="6" t="s">
        <v>156</v>
      </c>
      <c r="E50" s="12" t="s">
        <v>159</v>
      </c>
      <c r="F50" s="12" t="s">
        <v>372</v>
      </c>
      <c r="G50" s="12" t="s">
        <v>158</v>
      </c>
      <c r="H50" s="12" t="s">
        <v>158</v>
      </c>
      <c r="I50" s="12" t="s">
        <v>158</v>
      </c>
      <c r="J50" s="12" t="s">
        <v>358</v>
      </c>
      <c r="K50" s="6" t="s">
        <v>175</v>
      </c>
      <c r="L50" s="12" t="s">
        <v>176</v>
      </c>
      <c r="M50" s="12" t="s">
        <v>147</v>
      </c>
      <c r="N50" s="12" t="s">
        <v>6</v>
      </c>
      <c r="O50" s="6" t="s">
        <v>163</v>
      </c>
      <c r="P50" s="12" t="s">
        <v>177</v>
      </c>
      <c r="Q50" s="5" t="s">
        <v>361</v>
      </c>
      <c r="R50" s="5" t="s">
        <v>15</v>
      </c>
    </row>
    <row r="51" spans="1:18" x14ac:dyDescent="0.3">
      <c r="A51" t="str">
        <f t="shared" si="0"/>
        <v>BYD</v>
      </c>
      <c r="B51" s="8" t="s">
        <v>373</v>
      </c>
      <c r="C51" s="12" t="s">
        <v>374</v>
      </c>
      <c r="D51" s="6" t="s">
        <v>2</v>
      </c>
      <c r="E51" s="12" t="s">
        <v>107</v>
      </c>
      <c r="F51" s="12" t="s">
        <v>375</v>
      </c>
      <c r="G51" s="12" t="s">
        <v>198</v>
      </c>
      <c r="H51" s="12" t="s">
        <v>311</v>
      </c>
      <c r="I51" s="12" t="s">
        <v>92</v>
      </c>
      <c r="J51" s="12" t="s">
        <v>312</v>
      </c>
      <c r="K51" s="6" t="s">
        <v>74</v>
      </c>
      <c r="L51" s="12" t="s">
        <v>72</v>
      </c>
      <c r="M51" s="12" t="s">
        <v>72</v>
      </c>
      <c r="N51" s="12" t="s">
        <v>75</v>
      </c>
      <c r="O51" s="6" t="s">
        <v>318</v>
      </c>
      <c r="P51" s="12" t="s">
        <v>77</v>
      </c>
      <c r="Q51" s="5" t="s">
        <v>361</v>
      </c>
      <c r="R51" s="5" t="s">
        <v>64</v>
      </c>
    </row>
    <row r="52" spans="1:18" x14ac:dyDescent="0.3">
      <c r="A52" t="str">
        <f t="shared" si="0"/>
        <v>Denza</v>
      </c>
      <c r="B52" s="8" t="s">
        <v>376</v>
      </c>
      <c r="C52" s="12" t="s">
        <v>377</v>
      </c>
      <c r="D52" s="6" t="s">
        <v>315</v>
      </c>
      <c r="E52" s="12" t="s">
        <v>107</v>
      </c>
      <c r="F52" s="12" t="s">
        <v>306</v>
      </c>
      <c r="G52" s="12" t="s">
        <v>378</v>
      </c>
      <c r="H52" s="12" t="s">
        <v>379</v>
      </c>
      <c r="I52" s="12" t="s">
        <v>92</v>
      </c>
      <c r="J52" s="12" t="s">
        <v>380</v>
      </c>
      <c r="K52" s="6" t="s">
        <v>74</v>
      </c>
      <c r="L52" s="12" t="s">
        <v>72</v>
      </c>
      <c r="M52" s="12" t="s">
        <v>72</v>
      </c>
      <c r="N52" s="12" t="s">
        <v>95</v>
      </c>
      <c r="O52" s="6" t="s">
        <v>318</v>
      </c>
      <c r="P52" s="12" t="s">
        <v>77</v>
      </c>
      <c r="Q52" s="5" t="s">
        <v>361</v>
      </c>
      <c r="R52" s="5" t="s">
        <v>64</v>
      </c>
    </row>
    <row r="53" spans="1:18" ht="28.8" x14ac:dyDescent="0.3">
      <c r="A53" t="str">
        <f t="shared" si="0"/>
        <v>BYD</v>
      </c>
      <c r="B53" s="8" t="s">
        <v>381</v>
      </c>
      <c r="C53" s="12" t="s">
        <v>382</v>
      </c>
      <c r="D53" s="6" t="s">
        <v>383</v>
      </c>
      <c r="E53" s="12" t="s">
        <v>384</v>
      </c>
      <c r="F53" s="12" t="s">
        <v>385</v>
      </c>
      <c r="G53" s="12" t="s">
        <v>82</v>
      </c>
      <c r="H53" s="12" t="s">
        <v>386</v>
      </c>
      <c r="I53" s="12" t="s">
        <v>92</v>
      </c>
      <c r="J53" s="12" t="s">
        <v>387</v>
      </c>
      <c r="K53" s="6" t="s">
        <v>74</v>
      </c>
      <c r="L53" s="12" t="s">
        <v>72</v>
      </c>
      <c r="M53" s="12" t="s">
        <v>72</v>
      </c>
      <c r="N53" s="12" t="s">
        <v>388</v>
      </c>
      <c r="O53" s="6" t="s">
        <v>389</v>
      </c>
      <c r="P53" s="12" t="s">
        <v>390</v>
      </c>
      <c r="Q53" s="5" t="s">
        <v>361</v>
      </c>
      <c r="R53" s="5" t="s">
        <v>64</v>
      </c>
    </row>
    <row r="54" spans="1:18" x14ac:dyDescent="0.3">
      <c r="A54" t="str">
        <f t="shared" si="0"/>
        <v>Volvo</v>
      </c>
      <c r="B54" s="3" t="s">
        <v>391</v>
      </c>
      <c r="C54" s="11" t="s">
        <v>392</v>
      </c>
      <c r="D54" s="4" t="s">
        <v>393</v>
      </c>
      <c r="E54" s="11" t="s">
        <v>305</v>
      </c>
      <c r="F54" s="11" t="s">
        <v>340</v>
      </c>
      <c r="G54" s="11" t="s">
        <v>394</v>
      </c>
      <c r="H54" s="11" t="s">
        <v>395</v>
      </c>
      <c r="I54" s="11" t="s">
        <v>34</v>
      </c>
      <c r="J54" s="11" t="s">
        <v>396</v>
      </c>
      <c r="K54" s="4" t="s">
        <v>9</v>
      </c>
      <c r="L54" s="11" t="s">
        <v>350</v>
      </c>
      <c r="M54" s="11" t="s">
        <v>351</v>
      </c>
      <c r="N54" s="11" t="s">
        <v>12</v>
      </c>
      <c r="O54" s="4" t="s">
        <v>13</v>
      </c>
      <c r="P54" s="11" t="s">
        <v>14</v>
      </c>
      <c r="Q54" s="5" t="s">
        <v>403</v>
      </c>
      <c r="R54" s="5" t="s">
        <v>15</v>
      </c>
    </row>
    <row r="55" spans="1:18" x14ac:dyDescent="0.3">
      <c r="A55" t="str">
        <f t="shared" si="0"/>
        <v>BMW</v>
      </c>
      <c r="B55" s="3" t="s">
        <v>397</v>
      </c>
      <c r="C55" s="12" t="s">
        <v>355</v>
      </c>
      <c r="D55" s="6" t="s">
        <v>24</v>
      </c>
      <c r="E55" s="12" t="s">
        <v>398</v>
      </c>
      <c r="F55" s="12" t="s">
        <v>399</v>
      </c>
      <c r="G55" s="12" t="s">
        <v>199</v>
      </c>
      <c r="H55" s="12" t="s">
        <v>400</v>
      </c>
      <c r="I55" s="12" t="s">
        <v>401</v>
      </c>
      <c r="J55" s="12" t="s">
        <v>402</v>
      </c>
      <c r="K55" s="6" t="s">
        <v>160</v>
      </c>
      <c r="L55" s="12" t="s">
        <v>359</v>
      </c>
      <c r="M55" s="12" t="s">
        <v>360</v>
      </c>
      <c r="N55" s="12" t="s">
        <v>39</v>
      </c>
      <c r="O55" s="6" t="s">
        <v>163</v>
      </c>
      <c r="P55" s="12" t="s">
        <v>164</v>
      </c>
      <c r="Q55" s="5" t="s">
        <v>403</v>
      </c>
      <c r="R55" s="5" t="s">
        <v>15</v>
      </c>
    </row>
    <row r="56" spans="1:18" x14ac:dyDescent="0.3">
      <c r="A56" t="str">
        <f t="shared" si="0"/>
        <v>BMW</v>
      </c>
      <c r="B56" s="3" t="s">
        <v>404</v>
      </c>
      <c r="C56" s="12" t="s">
        <v>405</v>
      </c>
      <c r="D56" s="6" t="s">
        <v>24</v>
      </c>
      <c r="E56" s="12" t="s">
        <v>406</v>
      </c>
      <c r="F56" s="12" t="s">
        <v>151</v>
      </c>
      <c r="G56" s="12" t="s">
        <v>407</v>
      </c>
      <c r="H56" s="12" t="s">
        <v>400</v>
      </c>
      <c r="I56" s="12" t="s">
        <v>401</v>
      </c>
      <c r="J56" s="12" t="s">
        <v>402</v>
      </c>
      <c r="K56" s="6" t="s">
        <v>160</v>
      </c>
      <c r="L56" s="12" t="s">
        <v>359</v>
      </c>
      <c r="M56" s="12" t="s">
        <v>360</v>
      </c>
      <c r="N56" s="12" t="s">
        <v>39</v>
      </c>
      <c r="O56" s="6" t="s">
        <v>163</v>
      </c>
      <c r="P56" s="12" t="s">
        <v>164</v>
      </c>
      <c r="Q56" s="5" t="s">
        <v>403</v>
      </c>
      <c r="R56" s="5" t="s">
        <v>15</v>
      </c>
    </row>
    <row r="57" spans="1:18" x14ac:dyDescent="0.3">
      <c r="A57" t="str">
        <f t="shared" si="0"/>
        <v>Mercedes</v>
      </c>
      <c r="B57" s="3" t="s">
        <v>408</v>
      </c>
      <c r="C57" s="12" t="s">
        <v>409</v>
      </c>
      <c r="D57" s="6" t="s">
        <v>410</v>
      </c>
      <c r="E57" s="12" t="s">
        <v>411</v>
      </c>
      <c r="F57" s="12" t="s">
        <v>412</v>
      </c>
      <c r="G57" s="12" t="s">
        <v>413</v>
      </c>
      <c r="H57" s="12" t="s">
        <v>414</v>
      </c>
      <c r="I57" s="12" t="s">
        <v>415</v>
      </c>
      <c r="J57" s="12" t="s">
        <v>358</v>
      </c>
      <c r="K57" s="6" t="s">
        <v>175</v>
      </c>
      <c r="L57" s="12" t="s">
        <v>176</v>
      </c>
      <c r="M57" s="12" t="s">
        <v>147</v>
      </c>
      <c r="N57" s="12" t="s">
        <v>6</v>
      </c>
      <c r="O57" s="6" t="s">
        <v>163</v>
      </c>
      <c r="P57" s="12" t="s">
        <v>177</v>
      </c>
      <c r="Q57" s="5" t="s">
        <v>403</v>
      </c>
      <c r="R57" s="5" t="s">
        <v>15</v>
      </c>
    </row>
    <row r="58" spans="1:18" x14ac:dyDescent="0.3">
      <c r="A58" t="str">
        <f t="shared" si="0"/>
        <v>Mercedes</v>
      </c>
      <c r="B58" s="3" t="s">
        <v>416</v>
      </c>
      <c r="C58" s="12" t="s">
        <v>417</v>
      </c>
      <c r="D58" s="6" t="s">
        <v>24</v>
      </c>
      <c r="E58" s="12" t="s">
        <v>418</v>
      </c>
      <c r="F58" s="12" t="s">
        <v>181</v>
      </c>
      <c r="G58" s="12" t="s">
        <v>103</v>
      </c>
      <c r="H58" s="12" t="s">
        <v>414</v>
      </c>
      <c r="I58" s="12" t="s">
        <v>415</v>
      </c>
      <c r="J58" s="12" t="s">
        <v>358</v>
      </c>
      <c r="K58" s="6" t="s">
        <v>175</v>
      </c>
      <c r="L58" s="12" t="s">
        <v>176</v>
      </c>
      <c r="M58" s="12" t="s">
        <v>147</v>
      </c>
      <c r="N58" s="12" t="s">
        <v>6</v>
      </c>
      <c r="O58" s="6" t="s">
        <v>163</v>
      </c>
      <c r="P58" s="12" t="s">
        <v>177</v>
      </c>
      <c r="Q58" s="5" t="s">
        <v>403</v>
      </c>
      <c r="R58" s="5" t="s">
        <v>15</v>
      </c>
    </row>
    <row r="59" spans="1:18" x14ac:dyDescent="0.3">
      <c r="A59" t="str">
        <f t="shared" si="0"/>
        <v>Audi</v>
      </c>
      <c r="B59" s="3" t="s">
        <v>419</v>
      </c>
      <c r="C59" s="12" t="s">
        <v>420</v>
      </c>
      <c r="D59" s="6" t="s">
        <v>410</v>
      </c>
      <c r="E59" s="12" t="s">
        <v>421</v>
      </c>
      <c r="F59" s="12" t="s">
        <v>422</v>
      </c>
      <c r="G59" s="12" t="s">
        <v>211</v>
      </c>
      <c r="H59" s="12" t="s">
        <v>368</v>
      </c>
      <c r="I59" s="12" t="s">
        <v>423</v>
      </c>
      <c r="J59" s="12" t="s">
        <v>424</v>
      </c>
      <c r="K59" s="6" t="s">
        <v>187</v>
      </c>
      <c r="L59" s="12" t="s">
        <v>351</v>
      </c>
      <c r="M59" s="12" t="s">
        <v>291</v>
      </c>
      <c r="N59" s="12" t="s">
        <v>189</v>
      </c>
      <c r="O59" s="6" t="s">
        <v>163</v>
      </c>
      <c r="P59" s="12" t="s">
        <v>164</v>
      </c>
      <c r="Q59" s="5" t="s">
        <v>403</v>
      </c>
      <c r="R59" s="5" t="s">
        <v>15</v>
      </c>
    </row>
    <row r="60" spans="1:18" x14ac:dyDescent="0.3">
      <c r="A60" t="str">
        <f t="shared" si="0"/>
        <v>Audi</v>
      </c>
      <c r="B60" s="3" t="s">
        <v>425</v>
      </c>
      <c r="C60" s="12" t="s">
        <v>426</v>
      </c>
      <c r="D60" s="6" t="s">
        <v>24</v>
      </c>
      <c r="E60" s="12" t="s">
        <v>427</v>
      </c>
      <c r="F60" s="12" t="s">
        <v>428</v>
      </c>
      <c r="G60" s="12" t="s">
        <v>429</v>
      </c>
      <c r="H60" s="12" t="s">
        <v>368</v>
      </c>
      <c r="I60" s="12" t="s">
        <v>423</v>
      </c>
      <c r="J60" s="12" t="s">
        <v>424</v>
      </c>
      <c r="K60" s="6" t="s">
        <v>187</v>
      </c>
      <c r="L60" s="12" t="s">
        <v>351</v>
      </c>
      <c r="M60" s="12" t="s">
        <v>291</v>
      </c>
      <c r="N60" s="12" t="s">
        <v>189</v>
      </c>
      <c r="O60" s="6" t="s">
        <v>163</v>
      </c>
      <c r="P60" s="12" t="s">
        <v>164</v>
      </c>
      <c r="Q60" s="5" t="s">
        <v>403</v>
      </c>
      <c r="R60" s="5" t="s">
        <v>15</v>
      </c>
    </row>
    <row r="61" spans="1:18" x14ac:dyDescent="0.3">
      <c r="A61" t="str">
        <f t="shared" si="0"/>
        <v>Denza</v>
      </c>
      <c r="B61" s="8" t="s">
        <v>430</v>
      </c>
      <c r="C61" s="12" t="s">
        <v>431</v>
      </c>
      <c r="D61" s="6" t="s">
        <v>383</v>
      </c>
      <c r="E61" s="12" t="s">
        <v>432</v>
      </c>
      <c r="F61" s="12" t="s">
        <v>433</v>
      </c>
      <c r="G61" s="12" t="s">
        <v>434</v>
      </c>
      <c r="H61" s="12" t="s">
        <v>435</v>
      </c>
      <c r="I61" s="12" t="s">
        <v>92</v>
      </c>
      <c r="J61" s="12" t="s">
        <v>300</v>
      </c>
      <c r="K61" s="6" t="s">
        <v>74</v>
      </c>
      <c r="L61" s="12" t="s">
        <v>72</v>
      </c>
      <c r="M61" s="12" t="s">
        <v>72</v>
      </c>
      <c r="N61" s="12" t="s">
        <v>95</v>
      </c>
      <c r="O61" s="6" t="s">
        <v>389</v>
      </c>
      <c r="P61" s="12" t="s">
        <v>77</v>
      </c>
      <c r="Q61" s="5" t="s">
        <v>403</v>
      </c>
      <c r="R61" s="5" t="s">
        <v>64</v>
      </c>
    </row>
    <row r="62" spans="1:18" x14ac:dyDescent="0.3">
      <c r="A62" t="str">
        <f t="shared" si="0"/>
        <v>BYD</v>
      </c>
      <c r="B62" s="8" t="s">
        <v>436</v>
      </c>
      <c r="C62" s="12" t="s">
        <v>437</v>
      </c>
      <c r="D62" s="6" t="s">
        <v>383</v>
      </c>
      <c r="E62" s="12" t="s">
        <v>198</v>
      </c>
      <c r="F62" s="12" t="s">
        <v>438</v>
      </c>
      <c r="G62" s="12" t="s">
        <v>82</v>
      </c>
      <c r="H62" s="12" t="s">
        <v>386</v>
      </c>
      <c r="I62" s="12" t="s">
        <v>92</v>
      </c>
      <c r="J62" s="12" t="s">
        <v>439</v>
      </c>
      <c r="K62" s="6" t="s">
        <v>74</v>
      </c>
      <c r="L62" s="12" t="s">
        <v>72</v>
      </c>
      <c r="M62" s="12" t="s">
        <v>72</v>
      </c>
      <c r="N62" s="12" t="s">
        <v>388</v>
      </c>
      <c r="O62" s="6" t="s">
        <v>389</v>
      </c>
      <c r="P62" s="12" t="s">
        <v>390</v>
      </c>
      <c r="Q62" s="5" t="s">
        <v>403</v>
      </c>
      <c r="R62" s="5" t="s">
        <v>64</v>
      </c>
    </row>
    <row r="63" spans="1:18" x14ac:dyDescent="0.3">
      <c r="A63" t="str">
        <f t="shared" si="0"/>
        <v>BYD</v>
      </c>
      <c r="B63" s="8" t="s">
        <v>440</v>
      </c>
      <c r="C63" s="12" t="s">
        <v>441</v>
      </c>
      <c r="D63" s="6" t="s">
        <v>2</v>
      </c>
      <c r="E63" s="12" t="s">
        <v>442</v>
      </c>
      <c r="F63" s="12" t="s">
        <v>443</v>
      </c>
      <c r="G63" s="12" t="s">
        <v>378</v>
      </c>
      <c r="H63" s="12" t="s">
        <v>444</v>
      </c>
      <c r="I63" s="12" t="s">
        <v>92</v>
      </c>
      <c r="J63" s="12" t="s">
        <v>445</v>
      </c>
      <c r="K63" s="6" t="s">
        <v>74</v>
      </c>
      <c r="L63" s="12" t="s">
        <v>72</v>
      </c>
      <c r="M63" s="12" t="s">
        <v>72</v>
      </c>
      <c r="N63" s="12" t="s">
        <v>388</v>
      </c>
      <c r="O63" s="6" t="s">
        <v>389</v>
      </c>
      <c r="P63" s="12" t="s">
        <v>390</v>
      </c>
      <c r="Q63" s="5" t="s">
        <v>403</v>
      </c>
      <c r="R63" s="5" t="s">
        <v>64</v>
      </c>
    </row>
  </sheetData>
  <autoFilter ref="B1:R63" xr:uid="{871F27CE-7DBA-483D-948C-AD0CAC26488B}"/>
  <pageMargins left="0.511811024" right="0.511811024" top="0.78740157499999996" bottom="0.78740157499999996" header="0.31496062000000002" footer="0.31496062000000002"/>
  <pageSetup orientation="portrait" r:id="rId1"/>
</worksheet>
</file>

<file path=docMetadata/LabelInfo.xml><?xml version="1.0" encoding="utf-8"?>
<clbl:labelList xmlns:clbl="http://schemas.microsoft.com/office/2020/mipLabelMetadata">
  <clbl:label id="{7fea2623-af8f-4fb8-b1cf-b63cc8e496aa}" enabled="1" method="Standard" siteId="{81fa766e-a349-4867-8bf4-ab35e250a0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>Volvo Cars Group W11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Ribeiro Laurenza Zappia, Gustavo Antonio</dc:creator>
  <cp:lastModifiedBy>Ribeiro Souza Baldim, Henrique</cp:lastModifiedBy>
  <dcterms:created xsi:type="dcterms:W3CDTF">2026-03-04T14:31:33Z</dcterms:created>
  <dcterms:modified xsi:type="dcterms:W3CDTF">2026-03-06T14:37:02Z</dcterms:modified>
</cp:coreProperties>
</file>